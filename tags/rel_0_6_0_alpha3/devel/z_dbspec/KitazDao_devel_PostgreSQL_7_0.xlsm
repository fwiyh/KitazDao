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Projects\src\KitazDao\devel\z_dbspec\"/>
    </mc:Choice>
  </mc:AlternateContent>
  <bookViews>
    <workbookView xWindow="120" yWindow="90" windowWidth="28620" windowHeight="13170" firstSheet="3" activeTab="3"/>
  </bookViews>
  <sheets>
    <sheet name="~Index~" sheetId="1" r:id="rId1"/>
    <sheet name="~History~" sheetId="2" r:id="rId2"/>
    <sheet name="~Rules~" sheetId="3" r:id="rId3"/>
    <sheet name="D_NEWS" sheetId="19" r:id="rId4"/>
    <sheet name="R_NEWS_PAGE" sheetId="20" r:id="rId5"/>
    <sheet name="D_SPEACH" sheetId="21" r:id="rId6"/>
  </sheets>
  <functionGroups builtInGroupCount="18"/>
  <calcPr calcId="152511"/>
</workbook>
</file>

<file path=xl/calcChain.xml><?xml version="1.0" encoding="utf-8"?>
<calcChain xmlns="http://schemas.openxmlformats.org/spreadsheetml/2006/main">
  <c r="A5" i="1" l="1"/>
  <c r="A6" i="1" s="1"/>
  <c r="A7" i="1" l="1"/>
  <c r="C4" i="1"/>
  <c r="C6" i="1"/>
  <c r="C5" i="1"/>
  <c r="D5" i="1" l="1"/>
  <c r="D6" i="1" s="1"/>
  <c r="A8" i="1"/>
  <c r="C7" i="1"/>
  <c r="D7" i="1" l="1"/>
  <c r="A9" i="1"/>
  <c r="C8" i="1"/>
  <c r="A10" i="1" l="1"/>
  <c r="D8" i="1"/>
  <c r="C9" i="1"/>
  <c r="A11" i="1" l="1"/>
  <c r="D9" i="1"/>
  <c r="C10" i="1"/>
  <c r="A12" i="1" l="1"/>
  <c r="D10" i="1"/>
  <c r="C11" i="1"/>
  <c r="A13" i="1" l="1"/>
  <c r="D11" i="1"/>
  <c r="C12" i="1"/>
  <c r="A14" i="1" l="1"/>
  <c r="D12" i="1"/>
  <c r="C13" i="1"/>
  <c r="A15" i="1" l="1"/>
  <c r="D13" i="1"/>
  <c r="C14" i="1"/>
  <c r="A16" i="1" l="1"/>
  <c r="D14" i="1"/>
  <c r="C15" i="1"/>
  <c r="A17" i="1" l="1"/>
  <c r="D15" i="1"/>
  <c r="C16" i="1"/>
  <c r="D16" i="1" l="1"/>
  <c r="A18" i="1"/>
  <c r="C17" i="1"/>
  <c r="D17" i="1" l="1"/>
  <c r="A19" i="1"/>
  <c r="C18" i="1"/>
  <c r="D18" i="1" l="1"/>
  <c r="A20" i="1"/>
  <c r="C20" i="1"/>
  <c r="C19" i="1"/>
  <c r="D19" i="1" l="1"/>
  <c r="D20" i="1" s="1"/>
</calcChain>
</file>

<file path=xl/sharedStrings.xml><?xml version="1.0" encoding="utf-8"?>
<sst xmlns="http://schemas.openxmlformats.org/spreadsheetml/2006/main" count="192" uniqueCount="101">
  <si>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</si>
  <si>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</si>
  <si>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</si>
  <si>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</si>
  <si>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</si>
  <si>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</si>
  <si>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</si>
  <si>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</si>
  <si>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</si>
  <si>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</si>
  <si>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</si>
  <si>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</si>
  <si>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</si>
  <si>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</si>
  <si>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</si>
  <si>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</si>
  <si>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</si>
  <si>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</si>
  <si>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</si>
  <si>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</si>
  <si>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</si>
  <si>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</si>
  <si>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</si>
  <si>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</si>
  <si>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</si>
  <si>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</si>
  <si>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</si>
  <si>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</si>
  <si>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</si>
  <si>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</si>
  <si>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</si>
  <si>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</si>
  <si>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</si>
  <si>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</si>
  <si>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</si>
  <si>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</si>
  <si>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</si>
  <si>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</si>
  <si>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</si>
  <si>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</si>
  <si>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</si>
  <si>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</si>
  <si>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</si>
  <si>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</si>
  <si>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</si>
  <si>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</si>
  <si>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</si>
  <si>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</si>
  <si>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N</t>
  </si>
  <si>
    <t>No</t>
  </si>
  <si>
    <t>Database Modeling Excel</t>
  </si>
  <si>
    <t>Table</t>
  </si>
  <si>
    <t>Page</t>
  </si>
  <si>
    <t>...</t>
  </si>
  <si>
    <t>&gt;&gt;</t>
  </si>
  <si>
    <t>D_NEWS</t>
    <phoneticPr fontId="4"/>
  </si>
  <si>
    <t>ニュースデータ</t>
    <phoneticPr fontId="4"/>
  </si>
  <si>
    <t>NID</t>
    <phoneticPr fontId="4"/>
  </si>
  <si>
    <t>N</t>
    <phoneticPr fontId="4"/>
  </si>
  <si>
    <t>更新日時</t>
    <rPh sb="0" eb="4">
      <t>コウシンニチジ</t>
    </rPh>
    <phoneticPr fontId="4"/>
  </si>
  <si>
    <t>UPDT</t>
    <phoneticPr fontId="4"/>
  </si>
  <si>
    <t>No</t>
    <phoneticPr fontId="4"/>
  </si>
  <si>
    <t>ニュースID</t>
    <phoneticPr fontId="4"/>
  </si>
  <si>
    <t>記事見出し</t>
    <rPh sb="0" eb="4">
      <t>キジミダ</t>
    </rPh>
    <phoneticPr fontId="4"/>
  </si>
  <si>
    <t>TITLE</t>
    <phoneticPr fontId="4"/>
  </si>
  <si>
    <t>varchar(1000)</t>
    <phoneticPr fontId="4"/>
  </si>
  <si>
    <t>掲載日</t>
    <rPh sb="0" eb="3">
      <t>ケイサイビ</t>
    </rPh>
    <phoneticPr fontId="4"/>
  </si>
  <si>
    <t>PUBDT</t>
    <phoneticPr fontId="4"/>
  </si>
  <si>
    <t>新聞ID</t>
    <rPh sb="0" eb="2">
      <t>シンブン</t>
    </rPh>
    <phoneticPr fontId="4"/>
  </si>
  <si>
    <t>PID</t>
    <phoneticPr fontId="4"/>
  </si>
  <si>
    <t>朝刊・夕刊</t>
    <rPh sb="0" eb="2">
      <t>チョウカン</t>
    </rPh>
    <rPh sb="3" eb="5">
      <t>ユウカン</t>
    </rPh>
    <phoneticPr fontId="4"/>
  </si>
  <si>
    <t>ISMORNING</t>
    <phoneticPr fontId="4"/>
  </si>
  <si>
    <t>ページ数</t>
    <rPh sb="3" eb="4">
      <t>スウ</t>
    </rPh>
    <phoneticPr fontId="4"/>
  </si>
  <si>
    <t>PAGES</t>
    <phoneticPr fontId="4"/>
  </si>
  <si>
    <t>varchar(100)</t>
    <phoneticPr fontId="4"/>
  </si>
  <si>
    <t>投稿者</t>
    <rPh sb="0" eb="3">
      <t>トウコウシャ</t>
    </rPh>
    <phoneticPr fontId="4"/>
  </si>
  <si>
    <t>AUTHOR</t>
    <phoneticPr fontId="4"/>
  </si>
  <si>
    <t>M_NEWSPAPER</t>
    <phoneticPr fontId="4"/>
  </si>
  <si>
    <t>新聞の種類</t>
    <rPh sb="0" eb="1">
      <t>シンブン</t>
    </rPh>
    <rPh sb="2" eb="4">
      <t>シュルイ</t>
    </rPh>
    <phoneticPr fontId="4"/>
  </si>
  <si>
    <t>UPDT</t>
    <phoneticPr fontId="4"/>
  </si>
  <si>
    <t>PID</t>
    <phoneticPr fontId="4"/>
  </si>
  <si>
    <t>新聞名</t>
    <rPh sb="0" eb="3">
      <t>シンブンメイ</t>
    </rPh>
    <phoneticPr fontId="4"/>
  </si>
  <si>
    <t>PAPERNAME</t>
    <phoneticPr fontId="4"/>
  </si>
  <si>
    <t>varchar(100)</t>
    <phoneticPr fontId="4"/>
  </si>
  <si>
    <t>No</t>
    <phoneticPr fontId="4"/>
  </si>
  <si>
    <t>D_SPEACH</t>
    <phoneticPr fontId="4"/>
  </si>
  <si>
    <t>スピーチメディア</t>
    <phoneticPr fontId="4"/>
  </si>
  <si>
    <t>SID</t>
    <phoneticPr fontId="4"/>
  </si>
  <si>
    <t>スピーチID</t>
    <phoneticPr fontId="4"/>
  </si>
  <si>
    <t>題名</t>
    <rPh sb="0" eb="2">
      <t>ダイメイ</t>
    </rPh>
    <phoneticPr fontId="4"/>
  </si>
  <si>
    <t>TITLE</t>
    <phoneticPr fontId="4"/>
  </si>
  <si>
    <t>varchar(1000)</t>
    <phoneticPr fontId="4"/>
  </si>
  <si>
    <t>メディア</t>
    <phoneticPr fontId="4"/>
  </si>
  <si>
    <t>MEDIA</t>
    <phoneticPr fontId="4"/>
  </si>
  <si>
    <t>bigint</t>
    <phoneticPr fontId="4"/>
  </si>
  <si>
    <t>integer</t>
    <phoneticPr fontId="4"/>
  </si>
  <si>
    <t>bytea</t>
    <phoneticPr fontId="4"/>
  </si>
  <si>
    <t>&gt;&gt;</t>
    <phoneticPr fontId="4"/>
  </si>
  <si>
    <t>PID</t>
    <phoneticPr fontId="4"/>
  </si>
  <si>
    <t>PUBDT, ISMORNING, NID</t>
    <phoneticPr fontId="4"/>
  </si>
  <si>
    <t>timestamp without time zone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</si>
</sst>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5" fillId="0" borderId="1" xfId="0" applyFont="1" applyFill="1" applyBorder="1" applyAlignment="1">
      <alignment vertical="top"/>
    </xf>
    <xf numFmtId="0" fontId="5" fillId="0" borderId="1" xfId="0" applyFont="1" applyBorder="1" applyAlignment="1">
      <alignment vertical="top"/>
    </xf>
    <xf numFmtId="0" fontId="3" fillId="0" borderId="0" xfId="1"/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workbookViewId="0"/>
  </sheetViews>
  <sheetFormatPr defaultColWidth="9.125" defaultRowHeight="13.5" x14ac:dyDescent="0.1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15">
      <c r="C1" s="16" t="s">
        <v>50</v>
      </c>
    </row>
    <row r="3" spans="1:5" x14ac:dyDescent="0.15">
      <c r="A3" s="3" t="s">
        <v>49</v>
      </c>
      <c r="B3" s="3"/>
      <c r="C3" s="3" t="s">
        <v>51</v>
      </c>
      <c r="D3" s="3" t="s">
        <v>52</v>
      </c>
      <c r="E3" s="3" t="s">
        <v>53</v>
      </c>
    </row>
    <row r="4" spans="1:5" x14ac:dyDescent="0.15">
      <c r="A4" s="1">
        <v>1</v>
      </c>
      <c r="B4" s="19" t="s">
        <v>97</v>
      </c>
      <c r="C4" s="1" t="str">
        <f t="shared" ref="C4:C20" si="0" xml:space="preserve"> GetTableName(A4+1)</f>
        <v>~History~</v>
      </c>
      <c r="D4" s="1">
        <v>4</v>
      </c>
    </row>
    <row r="5" spans="1:5" x14ac:dyDescent="0.15">
      <c r="A5" s="1">
        <f t="shared" ref="A5:A20" si="1">A4+1</f>
        <v>2</v>
      </c>
      <c r="B5" s="19" t="s">
        <v>97</v>
      </c>
      <c r="C5" s="1" t="str">
        <f t="shared" si="0"/>
        <v>~Rules~</v>
      </c>
      <c r="D5" s="1">
        <f t="shared" ref="D5:D20" si="2">IF(C5 = "", "", D4 + IF( INT(E4) = 0, 1, E4) )</f>
        <v>5</v>
      </c>
    </row>
    <row r="6" spans="1:5" x14ac:dyDescent="0.15">
      <c r="A6" s="1">
        <f t="shared" si="1"/>
        <v>3</v>
      </c>
      <c r="B6" s="19" t="s">
        <v>97</v>
      </c>
      <c r="C6" s="1" t="str">
        <f t="shared" si="0"/>
        <v>D_NEWS</v>
      </c>
      <c r="D6" s="1">
        <f t="shared" si="2"/>
        <v>6</v>
      </c>
    </row>
    <row r="7" spans="1:5" x14ac:dyDescent="0.15">
      <c r="A7" s="1">
        <f t="shared" si="1"/>
        <v>4</v>
      </c>
      <c r="B7" s="19" t="s">
        <v>97</v>
      </c>
      <c r="C7" s="1" t="str">
        <f t="shared" si="0"/>
        <v>M_NEWSPAPER</v>
      </c>
      <c r="D7" s="1">
        <f t="shared" si="2"/>
        <v>7</v>
      </c>
    </row>
    <row r="8" spans="1:5" x14ac:dyDescent="0.15">
      <c r="A8" s="1">
        <f t="shared" si="1"/>
        <v>5</v>
      </c>
      <c r="B8" s="19" t="s">
        <v>97</v>
      </c>
      <c r="C8" s="1" t="str">
        <f t="shared" si="0"/>
        <v>D_SPEACH</v>
      </c>
      <c r="D8" s="1">
        <f t="shared" si="2"/>
        <v>8</v>
      </c>
    </row>
    <row r="9" spans="1:5" x14ac:dyDescent="0.15">
      <c r="A9" s="1">
        <f t="shared" si="1"/>
        <v>6</v>
      </c>
      <c r="B9" t="s">
        <v>54</v>
      </c>
      <c r="C9" s="1" t="str">
        <f t="shared" si="0"/>
        <v/>
      </c>
      <c r="D9" s="1" t="str">
        <f t="shared" si="2"/>
        <v/>
      </c>
    </row>
    <row r="10" spans="1:5" x14ac:dyDescent="0.15">
      <c r="A10" s="1">
        <f t="shared" si="1"/>
        <v>7</v>
      </c>
      <c r="B10" t="s">
        <v>54</v>
      </c>
      <c r="C10" s="1" t="str">
        <f t="shared" si="0"/>
        <v/>
      </c>
      <c r="D10" s="1" t="str">
        <f t="shared" si="2"/>
        <v/>
      </c>
    </row>
    <row r="11" spans="1:5" x14ac:dyDescent="0.15">
      <c r="A11" s="1">
        <f t="shared" si="1"/>
        <v>8</v>
      </c>
      <c r="B11" t="s">
        <v>54</v>
      </c>
      <c r="C11" s="1" t="str">
        <f t="shared" si="0"/>
        <v/>
      </c>
      <c r="D11" s="1" t="str">
        <f t="shared" si="2"/>
        <v/>
      </c>
    </row>
    <row r="12" spans="1:5" x14ac:dyDescent="0.15">
      <c r="A12" s="1">
        <f t="shared" si="1"/>
        <v>9</v>
      </c>
      <c r="B12" t="s">
        <v>54</v>
      </c>
      <c r="C12" s="1" t="str">
        <f t="shared" si="0"/>
        <v/>
      </c>
      <c r="D12" s="1" t="str">
        <f t="shared" si="2"/>
        <v/>
      </c>
    </row>
    <row r="13" spans="1:5" x14ac:dyDescent="0.15">
      <c r="A13" s="1">
        <f t="shared" si="1"/>
        <v>10</v>
      </c>
      <c r="B13" t="s">
        <v>54</v>
      </c>
      <c r="C13" s="1" t="str">
        <f t="shared" si="0"/>
        <v/>
      </c>
      <c r="D13" s="1" t="str">
        <f t="shared" si="2"/>
        <v/>
      </c>
    </row>
    <row r="14" spans="1:5" x14ac:dyDescent="0.15">
      <c r="A14" s="1">
        <f t="shared" si="1"/>
        <v>11</v>
      </c>
      <c r="B14" t="s">
        <v>54</v>
      </c>
      <c r="C14" s="1" t="str">
        <f t="shared" si="0"/>
        <v/>
      </c>
      <c r="D14" s="1" t="str">
        <f t="shared" si="2"/>
        <v/>
      </c>
    </row>
    <row r="15" spans="1:5" x14ac:dyDescent="0.15">
      <c r="A15" s="1">
        <f t="shared" si="1"/>
        <v>12</v>
      </c>
      <c r="B15" t="s">
        <v>54</v>
      </c>
      <c r="C15" s="1" t="str">
        <f t="shared" si="0"/>
        <v/>
      </c>
      <c r="D15" s="1" t="str">
        <f t="shared" si="2"/>
        <v/>
      </c>
    </row>
    <row r="16" spans="1:5" x14ac:dyDescent="0.15">
      <c r="A16" s="1">
        <f t="shared" si="1"/>
        <v>13</v>
      </c>
      <c r="B16" t="s">
        <v>54</v>
      </c>
      <c r="C16" s="1" t="str">
        <f t="shared" si="0"/>
        <v/>
      </c>
      <c r="D16" s="1" t="str">
        <f t="shared" si="2"/>
        <v/>
      </c>
    </row>
    <row r="17" spans="1:4" x14ac:dyDescent="0.15">
      <c r="A17" s="1">
        <f t="shared" si="1"/>
        <v>14</v>
      </c>
      <c r="B17" t="s">
        <v>54</v>
      </c>
      <c r="C17" s="1" t="str">
        <f t="shared" si="0"/>
        <v/>
      </c>
      <c r="D17" s="1" t="str">
        <f t="shared" si="2"/>
        <v/>
      </c>
    </row>
    <row r="18" spans="1:4" x14ac:dyDescent="0.15">
      <c r="A18" s="1">
        <f t="shared" si="1"/>
        <v>15</v>
      </c>
      <c r="B18" t="s">
        <v>54</v>
      </c>
      <c r="C18" s="1" t="str">
        <f t="shared" si="0"/>
        <v/>
      </c>
      <c r="D18" s="1" t="str">
        <f t="shared" si="2"/>
        <v/>
      </c>
    </row>
    <row r="19" spans="1:4" x14ac:dyDescent="0.15">
      <c r="A19" s="1">
        <f t="shared" si="1"/>
        <v>16</v>
      </c>
      <c r="B19" t="s">
        <v>54</v>
      </c>
      <c r="C19" s="1" t="str">
        <f t="shared" si="0"/>
        <v/>
      </c>
      <c r="D19" s="1" t="str">
        <f t="shared" si="2"/>
        <v/>
      </c>
    </row>
    <row r="20" spans="1:4" x14ac:dyDescent="0.15">
      <c r="A20" s="1">
        <f t="shared" si="1"/>
        <v>17</v>
      </c>
      <c r="B20" t="s">
        <v>54</v>
      </c>
      <c r="C20" s="1" t="str">
        <f t="shared" si="0"/>
        <v/>
      </c>
      <c r="D20" s="1" t="str">
        <f t="shared" si="2"/>
        <v/>
      </c>
    </row>
  </sheetData>
  <phoneticPr fontId="4"/>
  <hyperlinks>
    <hyperlink ref="B9" location="'customers'!A1" display="'customers'!A1"/>
    <hyperlink ref="B10" location="'employees'!A1" display="'employees'!A1"/>
    <hyperlink ref="B11" location="'employeeterritories'!A1" display="'employeeterritories'!A1"/>
    <hyperlink ref="B12" location="'orderdetails'!A1" display="'orderdetails'!A1"/>
    <hyperlink ref="B13" location="'orders'!A1" display="'orders'!A1"/>
    <hyperlink ref="B14" location="'products'!A1" display="'products'!A1"/>
    <hyperlink ref="B15" location="'region'!A1" display="'region'!A1"/>
    <hyperlink ref="B16" location="'shippers'!A1" display="'shippers'!A1"/>
    <hyperlink ref="B17" location="'suppliers'!A1" display="'suppliers'!A1"/>
    <hyperlink ref="B18" location="'territories'!A1" display="'territories'!A1"/>
    <hyperlink ref="B19" location="'sampletable1'!A1" display="'sampletable1'!A1"/>
    <hyperlink ref="B20" location="'sampletable2'!A1" display="'sampletable2'!A1"/>
    <hyperlink ref="B4" location="'~History~'!A1" display="'~History~'!A1"/>
    <hyperlink ref="B5" location="'~Rules~'!A1" display="'~Rules~'!A1"/>
    <hyperlink ref="B6" location="'D_NEWS'!A1" display="'D_NEWS'!A1"/>
    <hyperlink ref="B7" location="'R_NEWS_PAGE'!A1" display="'R_NEWS_PAGE'!A1"/>
    <hyperlink ref="B8" location="'D_SPEACH'!A1" display="'D_SPEACH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ColWidth="9.125" defaultRowHeight="13.5" x14ac:dyDescent="0.1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4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3"/>
  <sheetViews>
    <sheetView workbookViewId="0"/>
  </sheetViews>
  <sheetFormatPr defaultColWidth="9.125" defaultRowHeight="13.5" x14ac:dyDescent="0.1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10</v>
      </c>
    </row>
    <row r="4" spans="1:5" ht="27" x14ac:dyDescent="0.1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15">
      <c r="A5" s="3" t="s">
        <v>5</v>
      </c>
      <c r="B5" s="2" t="s">
        <v>13</v>
      </c>
      <c r="C5" s="1" t="s">
        <v>14</v>
      </c>
    </row>
    <row r="6" spans="1:5" x14ac:dyDescent="0.15">
      <c r="A6" s="10"/>
      <c r="C6" s="1" t="s">
        <v>15</v>
      </c>
    </row>
    <row r="7" spans="1:5" x14ac:dyDescent="0.15">
      <c r="A7" s="10"/>
      <c r="C7" s="1" t="s">
        <v>16</v>
      </c>
    </row>
    <row r="8" spans="1:5" x14ac:dyDescent="0.15">
      <c r="A8" s="10"/>
      <c r="C8" s="1" t="s">
        <v>17</v>
      </c>
      <c r="E8" s="6" t="s">
        <v>18</v>
      </c>
    </row>
    <row r="9" spans="1:5" ht="27" x14ac:dyDescent="0.15">
      <c r="A9" s="10"/>
      <c r="D9" s="7" t="s">
        <v>19</v>
      </c>
      <c r="E9" s="8" t="s">
        <v>20</v>
      </c>
    </row>
    <row r="10" spans="1:5" x14ac:dyDescent="0.15">
      <c r="A10" s="3" t="s">
        <v>5</v>
      </c>
      <c r="B10" s="2" t="s">
        <v>21</v>
      </c>
      <c r="C10" s="1" t="s">
        <v>22</v>
      </c>
    </row>
    <row r="11" spans="1:5" x14ac:dyDescent="0.15">
      <c r="A11" s="10"/>
      <c r="C11" s="1" t="s">
        <v>23</v>
      </c>
    </row>
    <row r="12" spans="1:5" x14ac:dyDescent="0.15">
      <c r="A12" s="10"/>
      <c r="C12" s="1" t="s">
        <v>24</v>
      </c>
    </row>
    <row r="13" spans="1:5" x14ac:dyDescent="0.15">
      <c r="A13" s="10"/>
      <c r="C13" s="1" t="s">
        <v>17</v>
      </c>
      <c r="E13" s="6" t="s">
        <v>25</v>
      </c>
    </row>
    <row r="14" spans="1:5" ht="27" x14ac:dyDescent="0.15">
      <c r="A14" s="10"/>
      <c r="D14" s="7" t="s">
        <v>26</v>
      </c>
      <c r="E14" s="8" t="s">
        <v>27</v>
      </c>
    </row>
    <row r="15" spans="1:5" x14ac:dyDescent="0.15">
      <c r="A15" s="3" t="s">
        <v>5</v>
      </c>
      <c r="B15" s="2" t="s">
        <v>28</v>
      </c>
      <c r="C15" s="1" t="s">
        <v>29</v>
      </c>
    </row>
    <row r="16" spans="1:5" x14ac:dyDescent="0.15">
      <c r="A16" s="3" t="s">
        <v>5</v>
      </c>
      <c r="B16" s="2" t="s">
        <v>30</v>
      </c>
      <c r="C16" s="1" t="s">
        <v>31</v>
      </c>
      <c r="D16" s="1" t="s">
        <v>32</v>
      </c>
    </row>
    <row r="17" spans="1:3" x14ac:dyDescent="0.15">
      <c r="A17" s="3" t="s">
        <v>5</v>
      </c>
      <c r="B17" s="2" t="s">
        <v>33</v>
      </c>
      <c r="C17" s="1" t="s">
        <v>34</v>
      </c>
    </row>
    <row r="18" spans="1:3" x14ac:dyDescent="0.15">
      <c r="A18" s="10"/>
      <c r="C18" s="1" t="s">
        <v>35</v>
      </c>
    </row>
    <row r="19" spans="1:3" x14ac:dyDescent="0.15">
      <c r="A19" s="3" t="s">
        <v>5</v>
      </c>
      <c r="B19" s="2" t="s">
        <v>36</v>
      </c>
      <c r="C19" s="1" t="s">
        <v>37</v>
      </c>
    </row>
    <row r="20" spans="1:3" x14ac:dyDescent="0.15">
      <c r="A20" s="3" t="s">
        <v>5</v>
      </c>
      <c r="B20" s="2" t="s">
        <v>38</v>
      </c>
      <c r="C20" s="1" t="s">
        <v>39</v>
      </c>
    </row>
    <row r="21" spans="1:3" x14ac:dyDescent="0.15">
      <c r="A21" s="10"/>
    </row>
    <row r="22" spans="1:3" x14ac:dyDescent="0.15">
      <c r="A22" s="10"/>
    </row>
    <row r="23" spans="1:3" x14ac:dyDescent="0.15">
      <c r="A23" s="10"/>
    </row>
  </sheetData>
  <phoneticPr fontId="4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"/>
  <sheetViews>
    <sheetView tabSelected="1" workbookViewId="0">
      <pane xSplit="1" ySplit="7" topLeftCell="B8" activePane="bottomRight" state="frozen"/>
      <selection activeCell="B15" sqref="B15"/>
      <selection pane="topRight" activeCell="B15" sqref="B15"/>
      <selection pane="bottomLeft" activeCell="B15" sqref="B15"/>
      <selection pane="bottomRight" activeCell="C9" sqref="C9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40</v>
      </c>
      <c r="B1" s="21" t="s">
        <v>55</v>
      </c>
      <c r="C1" s="21"/>
      <c r="D1" s="21"/>
      <c r="E1" s="21"/>
      <c r="F1" s="21"/>
      <c r="G1" s="21"/>
      <c r="H1" s="21"/>
      <c r="I1" s="12" t="s">
        <v>43</v>
      </c>
    </row>
    <row r="2" spans="1:9" x14ac:dyDescent="0.15">
      <c r="A2" s="11" t="s">
        <v>41</v>
      </c>
      <c r="B2" s="22" t="s">
        <v>56</v>
      </c>
      <c r="C2" s="21"/>
      <c r="D2" s="21"/>
      <c r="E2" s="21"/>
      <c r="F2" s="21"/>
      <c r="G2" s="11" t="s">
        <v>25</v>
      </c>
      <c r="H2" s="11" t="s">
        <v>18</v>
      </c>
      <c r="I2" s="11" t="s">
        <v>42</v>
      </c>
    </row>
    <row r="3" spans="1:9" x14ac:dyDescent="0.15">
      <c r="A3" s="11" t="s">
        <v>6</v>
      </c>
      <c r="B3" s="21" t="s">
        <v>57</v>
      </c>
      <c r="C3" s="21"/>
      <c r="D3" s="21"/>
      <c r="E3" s="21"/>
      <c r="F3" s="21"/>
      <c r="G3" s="5"/>
      <c r="H3" s="5"/>
      <c r="I3" s="5"/>
    </row>
    <row r="4" spans="1:9" x14ac:dyDescent="0.15">
      <c r="A4" s="11" t="s">
        <v>9</v>
      </c>
      <c r="B4" s="23"/>
      <c r="C4" s="21"/>
      <c r="D4" s="21"/>
      <c r="E4" s="21"/>
      <c r="F4" s="21"/>
      <c r="G4" s="5"/>
      <c r="H4" s="5"/>
      <c r="I4" s="5"/>
    </row>
    <row r="5" spans="1:9" ht="15" customHeight="1" x14ac:dyDescent="0.15">
      <c r="A5" s="11" t="s">
        <v>11</v>
      </c>
      <c r="B5" s="21" t="s">
        <v>99</v>
      </c>
      <c r="C5" s="21"/>
      <c r="D5" s="21"/>
      <c r="E5" s="21"/>
      <c r="F5" s="21"/>
      <c r="G5" s="5"/>
      <c r="H5" s="5" t="s">
        <v>58</v>
      </c>
      <c r="I5" s="5"/>
    </row>
    <row r="7" spans="1:9" x14ac:dyDescent="0.15">
      <c r="A7" s="13" t="s">
        <v>44</v>
      </c>
      <c r="B7" s="13" t="s">
        <v>45</v>
      </c>
      <c r="C7" s="13" t="s">
        <v>46</v>
      </c>
      <c r="D7" s="13" t="s">
        <v>47</v>
      </c>
      <c r="E7" s="13" t="s">
        <v>30</v>
      </c>
      <c r="F7" s="20" t="s">
        <v>41</v>
      </c>
      <c r="G7" s="20"/>
      <c r="H7" s="20"/>
      <c r="I7" s="20"/>
    </row>
    <row r="8" spans="1:9" x14ac:dyDescent="0.15">
      <c r="A8" s="14" t="s">
        <v>59</v>
      </c>
      <c r="B8" s="14" t="s">
        <v>60</v>
      </c>
      <c r="C8" s="5" t="s">
        <v>100</v>
      </c>
      <c r="D8" s="5" t="s">
        <v>61</v>
      </c>
      <c r="E8" s="5"/>
      <c r="F8" s="21"/>
      <c r="G8" s="21"/>
      <c r="H8" s="21"/>
      <c r="I8" s="21"/>
    </row>
    <row r="9" spans="1:9" x14ac:dyDescent="0.15">
      <c r="A9" s="14" t="s">
        <v>62</v>
      </c>
      <c r="B9" s="14" t="s">
        <v>57</v>
      </c>
      <c r="C9" s="5" t="s">
        <v>94</v>
      </c>
      <c r="D9" s="5" t="s">
        <v>61</v>
      </c>
      <c r="E9" s="5"/>
      <c r="F9" s="21"/>
      <c r="G9" s="21"/>
      <c r="H9" s="21"/>
      <c r="I9" s="21"/>
    </row>
    <row r="10" spans="1:9" x14ac:dyDescent="0.15">
      <c r="A10" s="17" t="s">
        <v>63</v>
      </c>
      <c r="B10" s="17" t="s">
        <v>64</v>
      </c>
      <c r="C10" s="5" t="s">
        <v>65</v>
      </c>
      <c r="D10" s="5" t="s">
        <v>61</v>
      </c>
      <c r="E10" s="5"/>
      <c r="F10" s="21"/>
      <c r="G10" s="21"/>
      <c r="H10" s="21"/>
      <c r="I10" s="21"/>
    </row>
    <row r="11" spans="1:9" x14ac:dyDescent="0.15">
      <c r="A11" s="17" t="s">
        <v>66</v>
      </c>
      <c r="B11" s="17" t="s">
        <v>67</v>
      </c>
      <c r="C11" s="5" t="s">
        <v>100</v>
      </c>
      <c r="D11" s="5" t="s">
        <v>61</v>
      </c>
      <c r="E11" s="5"/>
      <c r="F11" s="21"/>
      <c r="G11" s="21"/>
      <c r="H11" s="21"/>
      <c r="I11" s="21"/>
    </row>
    <row r="12" spans="1:9" x14ac:dyDescent="0.15">
      <c r="A12" s="17" t="s">
        <v>68</v>
      </c>
      <c r="B12" s="14" t="s">
        <v>69</v>
      </c>
      <c r="C12" s="5" t="s">
        <v>95</v>
      </c>
      <c r="D12" s="5" t="s">
        <v>61</v>
      </c>
      <c r="E12" s="5"/>
      <c r="F12" s="21"/>
      <c r="G12" s="21"/>
      <c r="H12" s="21"/>
      <c r="I12" s="21"/>
    </row>
    <row r="13" spans="1:9" x14ac:dyDescent="0.15">
      <c r="A13" s="14" t="s">
        <v>70</v>
      </c>
      <c r="B13" s="14" t="s">
        <v>71</v>
      </c>
      <c r="C13" s="5" t="s">
        <v>95</v>
      </c>
      <c r="D13" s="5" t="s">
        <v>61</v>
      </c>
      <c r="E13" s="5"/>
      <c r="F13" s="21"/>
      <c r="G13" s="21"/>
      <c r="H13" s="21"/>
      <c r="I13" s="21"/>
    </row>
    <row r="14" spans="1:9" x14ac:dyDescent="0.15">
      <c r="A14" s="14" t="s">
        <v>72</v>
      </c>
      <c r="B14" s="14" t="s">
        <v>73</v>
      </c>
      <c r="C14" s="5" t="s">
        <v>74</v>
      </c>
      <c r="D14" s="5" t="s">
        <v>61</v>
      </c>
      <c r="E14" s="5"/>
      <c r="F14" s="21"/>
      <c r="G14" s="21"/>
      <c r="H14" s="21"/>
      <c r="I14" s="21"/>
    </row>
    <row r="15" spans="1:9" x14ac:dyDescent="0.15">
      <c r="A15" s="14" t="s">
        <v>75</v>
      </c>
      <c r="B15" s="14" t="s">
        <v>76</v>
      </c>
      <c r="C15" s="5" t="s">
        <v>74</v>
      </c>
      <c r="D15" s="5" t="s">
        <v>61</v>
      </c>
      <c r="E15" s="5"/>
      <c r="F15" s="21"/>
      <c r="G15" s="21"/>
      <c r="H15" s="21"/>
      <c r="I15" s="21"/>
    </row>
  </sheetData>
  <mergeCells count="14">
    <mergeCell ref="F14:I14"/>
    <mergeCell ref="F15:I15"/>
    <mergeCell ref="F8:I8"/>
    <mergeCell ref="F9:I9"/>
    <mergeCell ref="F10:I10"/>
    <mergeCell ref="F11:I11"/>
    <mergeCell ref="F12:I12"/>
    <mergeCell ref="F13:I13"/>
    <mergeCell ref="F7:I7"/>
    <mergeCell ref="B1:H1"/>
    <mergeCell ref="B2:F2"/>
    <mergeCell ref="B3:F3"/>
    <mergeCell ref="B4:F4"/>
    <mergeCell ref="B5:F5"/>
  </mergeCells>
  <phoneticPr fontId="4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activeCell="B15" sqref="B15"/>
      <selection pane="topRight" activeCell="B15" sqref="B15"/>
      <selection pane="bottomLeft" activeCell="B15" sqref="B15"/>
      <selection pane="bottomRight" activeCell="C9" sqref="C9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40</v>
      </c>
      <c r="B1" s="21" t="s">
        <v>77</v>
      </c>
      <c r="C1" s="21"/>
      <c r="D1" s="21"/>
      <c r="E1" s="21"/>
      <c r="F1" s="21"/>
      <c r="G1" s="21"/>
      <c r="H1" s="21"/>
      <c r="I1" s="12" t="s">
        <v>43</v>
      </c>
    </row>
    <row r="2" spans="1:9" x14ac:dyDescent="0.15">
      <c r="A2" s="11" t="s">
        <v>41</v>
      </c>
      <c r="B2" s="22" t="s">
        <v>78</v>
      </c>
      <c r="C2" s="21"/>
      <c r="D2" s="21"/>
      <c r="E2" s="21"/>
      <c r="F2" s="21"/>
      <c r="G2" s="11" t="s">
        <v>25</v>
      </c>
      <c r="H2" s="11" t="s">
        <v>18</v>
      </c>
      <c r="I2" s="11" t="s">
        <v>42</v>
      </c>
    </row>
    <row r="3" spans="1:9" x14ac:dyDescent="0.15">
      <c r="A3" s="11" t="s">
        <v>6</v>
      </c>
      <c r="B3" s="21" t="s">
        <v>98</v>
      </c>
      <c r="C3" s="21"/>
      <c r="D3" s="21"/>
      <c r="E3" s="21"/>
      <c r="F3" s="21"/>
      <c r="G3" s="5"/>
      <c r="H3" s="5"/>
      <c r="I3" s="5"/>
    </row>
    <row r="4" spans="1:9" ht="15" customHeight="1" x14ac:dyDescent="0.1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x14ac:dyDescent="0.15">
      <c r="A5" s="11" t="s">
        <v>11</v>
      </c>
      <c r="B5" s="23"/>
      <c r="C5" s="21"/>
      <c r="D5" s="21"/>
      <c r="E5" s="21"/>
      <c r="F5" s="21"/>
      <c r="G5" s="15"/>
      <c r="H5" s="5" t="s">
        <v>48</v>
      </c>
      <c r="I5" s="5"/>
    </row>
    <row r="7" spans="1:9" x14ac:dyDescent="0.15">
      <c r="A7" s="13" t="s">
        <v>44</v>
      </c>
      <c r="B7" s="13" t="s">
        <v>45</v>
      </c>
      <c r="C7" s="13" t="s">
        <v>46</v>
      </c>
      <c r="D7" s="13" t="s">
        <v>47</v>
      </c>
      <c r="E7" s="13" t="s">
        <v>30</v>
      </c>
      <c r="F7" s="20" t="s">
        <v>41</v>
      </c>
      <c r="G7" s="20"/>
      <c r="H7" s="20"/>
      <c r="I7" s="20"/>
    </row>
    <row r="8" spans="1:9" x14ac:dyDescent="0.15">
      <c r="A8" s="17" t="s">
        <v>59</v>
      </c>
      <c r="B8" s="17" t="s">
        <v>79</v>
      </c>
      <c r="C8" s="17" t="s">
        <v>100</v>
      </c>
      <c r="D8" s="5" t="s">
        <v>49</v>
      </c>
      <c r="E8" s="5"/>
      <c r="F8" s="21"/>
      <c r="G8" s="21"/>
      <c r="H8" s="21"/>
      <c r="I8" s="21"/>
    </row>
    <row r="9" spans="1:9" x14ac:dyDescent="0.15">
      <c r="A9" s="17" t="s">
        <v>68</v>
      </c>
      <c r="B9" s="17" t="s">
        <v>80</v>
      </c>
      <c r="C9" s="17" t="s">
        <v>94</v>
      </c>
      <c r="D9" s="5" t="s">
        <v>49</v>
      </c>
      <c r="E9" s="5"/>
      <c r="F9" s="21"/>
      <c r="G9" s="21"/>
      <c r="H9" s="21"/>
      <c r="I9" s="21"/>
    </row>
    <row r="10" spans="1:9" x14ac:dyDescent="0.15">
      <c r="A10" s="17" t="s">
        <v>81</v>
      </c>
      <c r="B10" s="17" t="s">
        <v>82</v>
      </c>
      <c r="C10" s="17" t="s">
        <v>83</v>
      </c>
      <c r="D10" s="5" t="s">
        <v>84</v>
      </c>
      <c r="E10" s="5"/>
      <c r="F10" s="21"/>
      <c r="G10" s="21"/>
      <c r="H10" s="21"/>
      <c r="I10" s="21"/>
    </row>
    <row r="11" spans="1:9" x14ac:dyDescent="0.15">
      <c r="A11" s="17"/>
      <c r="B11" s="17"/>
      <c r="C11" s="17"/>
      <c r="D11" s="5"/>
      <c r="E11" s="5"/>
      <c r="F11" s="21"/>
      <c r="G11" s="21"/>
      <c r="H11" s="21"/>
      <c r="I11" s="21"/>
    </row>
    <row r="12" spans="1:9" x14ac:dyDescent="0.15">
      <c r="A12" s="14"/>
      <c r="B12" s="14"/>
      <c r="C12" s="5"/>
      <c r="D12" s="5"/>
      <c r="E12" s="5"/>
      <c r="F12" s="21"/>
      <c r="G12" s="21"/>
      <c r="H12" s="21"/>
      <c r="I12" s="21"/>
    </row>
    <row r="13" spans="1:9" x14ac:dyDescent="0.15">
      <c r="A13" s="14"/>
      <c r="B13" s="14"/>
      <c r="C13" s="5"/>
      <c r="D13" s="5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4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activeCell="B15" sqref="B15"/>
      <selection pane="topRight" activeCell="B15" sqref="B15"/>
      <selection pane="bottomLeft" activeCell="B15" sqref="B15"/>
      <selection pane="bottomRight" activeCell="C9" sqref="C9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40</v>
      </c>
      <c r="B1" s="21" t="s">
        <v>85</v>
      </c>
      <c r="C1" s="21"/>
      <c r="D1" s="21"/>
      <c r="E1" s="21"/>
      <c r="F1" s="21"/>
      <c r="G1" s="21"/>
      <c r="H1" s="21"/>
      <c r="I1" s="12" t="s">
        <v>43</v>
      </c>
    </row>
    <row r="2" spans="1:9" x14ac:dyDescent="0.15">
      <c r="A2" s="11" t="s">
        <v>41</v>
      </c>
      <c r="B2" s="21" t="s">
        <v>86</v>
      </c>
      <c r="C2" s="21"/>
      <c r="D2" s="21"/>
      <c r="E2" s="21"/>
      <c r="F2" s="21"/>
      <c r="G2" s="11" t="s">
        <v>25</v>
      </c>
      <c r="H2" s="11" t="s">
        <v>18</v>
      </c>
      <c r="I2" s="11" t="s">
        <v>42</v>
      </c>
    </row>
    <row r="3" spans="1:9" x14ac:dyDescent="0.15">
      <c r="A3" s="11" t="s">
        <v>6</v>
      </c>
      <c r="B3" s="21" t="s">
        <v>87</v>
      </c>
      <c r="C3" s="21"/>
      <c r="D3" s="21"/>
      <c r="E3" s="21"/>
      <c r="F3" s="21"/>
      <c r="G3" s="5"/>
      <c r="H3" s="5" t="s">
        <v>48</v>
      </c>
      <c r="I3" s="5"/>
    </row>
    <row r="4" spans="1:9" ht="15" customHeight="1" x14ac:dyDescent="0.1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x14ac:dyDescent="0.15">
      <c r="A5" s="11" t="s">
        <v>11</v>
      </c>
      <c r="B5" s="23"/>
      <c r="C5" s="21"/>
      <c r="D5" s="21"/>
      <c r="E5" s="21"/>
      <c r="F5" s="21"/>
      <c r="G5" s="15"/>
      <c r="H5" s="5"/>
      <c r="I5" s="5"/>
    </row>
    <row r="7" spans="1:9" x14ac:dyDescent="0.15">
      <c r="A7" s="13" t="s">
        <v>44</v>
      </c>
      <c r="B7" s="13" t="s">
        <v>45</v>
      </c>
      <c r="C7" s="13" t="s">
        <v>46</v>
      </c>
      <c r="D7" s="13" t="s">
        <v>47</v>
      </c>
      <c r="E7" s="13" t="s">
        <v>30</v>
      </c>
      <c r="F7" s="20" t="s">
        <v>41</v>
      </c>
      <c r="G7" s="20"/>
      <c r="H7" s="20"/>
      <c r="I7" s="20"/>
    </row>
    <row r="8" spans="1:9" x14ac:dyDescent="0.15">
      <c r="A8" s="17" t="s">
        <v>59</v>
      </c>
      <c r="B8" s="17" t="s">
        <v>79</v>
      </c>
      <c r="C8" s="17" t="s">
        <v>100</v>
      </c>
      <c r="D8" s="18" t="s">
        <v>49</v>
      </c>
      <c r="E8" s="5"/>
      <c r="F8" s="21"/>
      <c r="G8" s="21"/>
      <c r="H8" s="21"/>
      <c r="I8" s="21"/>
    </row>
    <row r="9" spans="1:9" x14ac:dyDescent="0.15">
      <c r="A9" s="17" t="s">
        <v>88</v>
      </c>
      <c r="B9" s="17" t="s">
        <v>87</v>
      </c>
      <c r="C9" s="18" t="s">
        <v>94</v>
      </c>
      <c r="D9" s="18" t="s">
        <v>49</v>
      </c>
      <c r="E9" s="5"/>
      <c r="F9" s="21"/>
      <c r="G9" s="21"/>
      <c r="H9" s="21"/>
      <c r="I9" s="21"/>
    </row>
    <row r="10" spans="1:9" x14ac:dyDescent="0.15">
      <c r="A10" s="17" t="s">
        <v>89</v>
      </c>
      <c r="B10" s="17" t="s">
        <v>90</v>
      </c>
      <c r="C10" s="18" t="s">
        <v>91</v>
      </c>
      <c r="D10" s="18" t="s">
        <v>49</v>
      </c>
      <c r="E10" s="5"/>
      <c r="F10" s="21"/>
      <c r="G10" s="21"/>
      <c r="H10" s="21"/>
      <c r="I10" s="21"/>
    </row>
    <row r="11" spans="1:9" x14ac:dyDescent="0.15">
      <c r="A11" s="17" t="s">
        <v>92</v>
      </c>
      <c r="B11" s="17" t="s">
        <v>93</v>
      </c>
      <c r="C11" s="18" t="s">
        <v>96</v>
      </c>
      <c r="D11" s="18" t="s">
        <v>49</v>
      </c>
      <c r="E11" s="5"/>
      <c r="F11" s="21"/>
      <c r="G11" s="21"/>
      <c r="H11" s="21"/>
      <c r="I11" s="21"/>
    </row>
    <row r="12" spans="1:9" x14ac:dyDescent="0.15">
      <c r="A12" s="17"/>
      <c r="B12" s="17"/>
      <c r="C12" s="18"/>
      <c r="D12" s="18"/>
      <c r="E12" s="5"/>
      <c r="F12" s="21"/>
      <c r="G12" s="21"/>
      <c r="H12" s="21"/>
      <c r="I12" s="21"/>
    </row>
    <row r="13" spans="1:9" x14ac:dyDescent="0.15">
      <c r="A13" s="17"/>
      <c r="B13" s="17"/>
      <c r="C13" s="18"/>
      <c r="D13" s="18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4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~Index~</vt:lpstr>
      <vt:lpstr>~History~</vt:lpstr>
      <vt:lpstr>~Rules~</vt:lpstr>
      <vt:lpstr>D_NEWS</vt:lpstr>
      <vt:lpstr>R_NEWS_PAGE</vt:lpstr>
      <vt:lpstr>D_SPEACH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2014-10-10T08:05:41Z</dcterms:created>
  <dcterms:modified xsi:type="dcterms:W3CDTF">2015-03-20T13:03:55Z</dcterms:modified>
</cp:coreProperties>
</file>