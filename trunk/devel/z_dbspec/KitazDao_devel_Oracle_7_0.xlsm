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My Documents\Projects\src\KitazDao\devel\z_dbspec\"/>
    </mc:Choice>
  </mc:AlternateContent>
  <bookViews>
    <workbookView xWindow="120" yWindow="90" windowWidth="28620" windowHeight="13170" firstSheet="4" activeTab="4"/>
  </bookViews>
  <sheets>
    <sheet name="~Index~" sheetId="1" r:id="rId1"/>
    <sheet name="~History~" sheetId="2" r:id="rId2"/>
    <sheet name="~Rules~" sheetId="3" r:id="rId3"/>
    <sheet name="ALLDATATYPES" sheetId="4" r:id="rId4"/>
    <sheet name="D_NEWS" sheetId="13" r:id="rId5"/>
    <sheet name="R_NEWS_PAGE" sheetId="14" r:id="rId6"/>
    <sheet name="D_SPEACH" sheetId="15" r:id="rId7"/>
  </sheets>
  <functionGroups builtInGroupCount="18"/>
  <calcPr calcId="162913"/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8" i="1"/>
  <c r="C7" i="1"/>
  <c r="C4" i="1"/>
  <c r="C14" i="1"/>
  <c r="C12" i="1"/>
  <c r="C11" i="1"/>
  <c r="C6" i="1"/>
  <c r="C9" i="1"/>
  <c r="C5" i="1"/>
  <c r="C13" i="1"/>
  <c r="C10" i="1"/>
  <c r="D5" i="1" l="1"/>
  <c r="D6" i="1" s="1"/>
  <c r="D7" i="1" s="1"/>
  <c r="D8" i="1" s="1"/>
  <c r="D9" i="1" s="1"/>
  <c r="D10" i="1" s="1"/>
  <c r="D11" i="1" s="1"/>
  <c r="D12" i="1" s="1"/>
  <c r="D13" i="1" s="1"/>
  <c r="D14" i="1" s="1"/>
</calcChain>
</file>

<file path=xl/sharedStrings.xml><?xml version="1.0" encoding="utf-8"?>
<sst xmlns="http://schemas.openxmlformats.org/spreadsheetml/2006/main" count="307" uniqueCount="161">
  <si>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</si>
  <si>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</si>
  <si>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</si>
  <si>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</si>
  <si>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</si>
  <si>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</si>
  <si>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</si>
  <si>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</si>
  <si>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</si>
  <si>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</si>
  <si>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</si>
  <si>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</si>
  <si>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</si>
  <si>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</si>
  <si>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Oracle.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</si>
  <si>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</si>
  <si>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</si>
  <si>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</si>
  <si>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</si>
  <si>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</si>
  <si>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</si>
  <si>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</si>
  <si>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</si>
  <si>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</si>
  <si>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Default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</si>
  <si>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</si>
  <si>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</si>
  <si>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</si>
  <si>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</si>
  <si>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</si>
  <si>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</si>
  <si>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</si>
  <si>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</si>
  <si>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</si>
  <si>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</si>
  <si>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</si>
  <si>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</si>
  <si>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</si>
  <si>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</si>
  <si>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</si>
  <si>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</si>
  <si>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</si>
  <si>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</si>
  <si>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</si>
  <si>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</si>
  <si>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</si>
  <si>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number</t>
  </si>
  <si>
    <t>No</t>
  </si>
  <si>
    <t>Test single' quatation</t>
  </si>
  <si>
    <t>Data Type's Name</t>
  </si>
  <si>
    <t>nvarchar2(15)</t>
  </si>
  <si>
    <t>Test single quatation</t>
  </si>
  <si>
    <t>DTNUMERIC</t>
  </si>
  <si>
    <t>(1.1)</t>
  </si>
  <si>
    <t>Numeric Data Types</t>
  </si>
  <si>
    <t>DTNUMERIC_8_2</t>
  </si>
  <si>
    <t>number(8, 2)</t>
  </si>
  <si>
    <t>(2.2)</t>
  </si>
  <si>
    <t>DTINT</t>
  </si>
  <si>
    <t>(3)</t>
  </si>
  <si>
    <t>DTFLOAT</t>
  </si>
  <si>
    <t>float</t>
  </si>
  <si>
    <t>(4)</t>
  </si>
  <si>
    <t>DTFLOAT_10</t>
  </si>
  <si>
    <t>float(10)</t>
  </si>
  <si>
    <t>(5)</t>
  </si>
  <si>
    <t>DTBINARYFLOAT</t>
  </si>
  <si>
    <t>binary_float</t>
  </si>
  <si>
    <t>(6)</t>
  </si>
  <si>
    <t>Floating point number</t>
  </si>
  <si>
    <t>DTBINARYDOUBLE</t>
  </si>
  <si>
    <t>binary_double</t>
  </si>
  <si>
    <t>(7)</t>
  </si>
  <si>
    <t>DTDATE</t>
  </si>
  <si>
    <t>date</t>
  </si>
  <si>
    <t>Date and Time</t>
  </si>
  <si>
    <t>DTTIMESTAMP</t>
  </si>
  <si>
    <t>timestamp(6)</t>
  </si>
  <si>
    <t>DTTIMESTAMPWITHZONE</t>
  </si>
  <si>
    <t>timestamp(6) with time zone</t>
  </si>
  <si>
    <t>DTTIMESTAMPWITHLOCAL</t>
  </si>
  <si>
    <t>timestamp(6) with local time zone</t>
  </si>
  <si>
    <t>DTINTERVALYEARTOMONTH</t>
  </si>
  <si>
    <t>interval year(2) to month</t>
  </si>
  <si>
    <t>DTINTERVALDAYTOSECOND</t>
  </si>
  <si>
    <t>interval day(2) to second(6)</t>
  </si>
  <si>
    <t>DTCHAR</t>
  </si>
  <si>
    <t>char(255)</t>
  </si>
  <si>
    <t>Yes</t>
  </si>
  <si>
    <t>Character Data Types</t>
  </si>
  <si>
    <t>DTVARCHAR</t>
  </si>
  <si>
    <t>varchar2(255)</t>
  </si>
  <si>
    <t>('')</t>
  </si>
  <si>
    <t>DTCLOB</t>
  </si>
  <si>
    <t>clob</t>
  </si>
  <si>
    <t>DTNCHAR</t>
  </si>
  <si>
    <t>nchar(255)</t>
  </si>
  <si>
    <t>DTNVARCHAR2</t>
  </si>
  <si>
    <t>nvarchar2(255)</t>
  </si>
  <si>
    <t>('A')</t>
  </si>
  <si>
    <t>DTNCLOB</t>
  </si>
  <si>
    <t>nclob</t>
  </si>
  <si>
    <t>DTRAW</t>
  </si>
  <si>
    <t>raw(1000)</t>
  </si>
  <si>
    <t>Large Object Data Types</t>
  </si>
  <si>
    <t>DTLONGRAW</t>
  </si>
  <si>
    <t>long raw</t>
  </si>
  <si>
    <t>DTBLOB</t>
  </si>
  <si>
    <t>blob</t>
  </si>
  <si>
    <t>DTBFINE</t>
  </si>
  <si>
    <t>bfile</t>
  </si>
  <si>
    <t>N</t>
  </si>
  <si>
    <t>Database Modeling Excel</t>
  </si>
  <si>
    <t>Table</t>
  </si>
  <si>
    <t>Page</t>
  </si>
  <si>
    <t>...</t>
  </si>
  <si>
    <t>&gt;&gt;</t>
  </si>
  <si>
    <t>D_NEWS</t>
    <phoneticPr fontId="3"/>
  </si>
  <si>
    <t>ニュースデータ</t>
    <phoneticPr fontId="3"/>
  </si>
  <si>
    <t>NID</t>
    <phoneticPr fontId="3"/>
  </si>
  <si>
    <t>N</t>
    <phoneticPr fontId="3"/>
  </si>
  <si>
    <t>更新日時</t>
    <rPh sb="0" eb="4">
      <t>コウシンニチジ</t>
    </rPh>
    <phoneticPr fontId="3"/>
  </si>
  <si>
    <t>UPDT</t>
    <phoneticPr fontId="3"/>
  </si>
  <si>
    <t>No</t>
    <phoneticPr fontId="3"/>
  </si>
  <si>
    <t>ニュースID</t>
    <phoneticPr fontId="3"/>
  </si>
  <si>
    <t>記事見出し</t>
    <rPh sb="0" eb="4">
      <t>キジミダ</t>
    </rPh>
    <phoneticPr fontId="3"/>
  </si>
  <si>
    <t>TITLE</t>
    <phoneticPr fontId="3"/>
  </si>
  <si>
    <t>掲載日</t>
    <rPh sb="0" eb="3">
      <t>ケイサイビ</t>
    </rPh>
    <phoneticPr fontId="3"/>
  </si>
  <si>
    <t>PUBDT</t>
    <phoneticPr fontId="3"/>
  </si>
  <si>
    <t>新聞ID</t>
    <rPh sb="0" eb="2">
      <t>シンブン</t>
    </rPh>
    <phoneticPr fontId="3"/>
  </si>
  <si>
    <t>PID</t>
    <phoneticPr fontId="3"/>
  </si>
  <si>
    <t>朝刊・夕刊</t>
    <rPh sb="0" eb="2">
      <t>チョウカン</t>
    </rPh>
    <rPh sb="3" eb="5">
      <t>ユウカン</t>
    </rPh>
    <phoneticPr fontId="3"/>
  </si>
  <si>
    <t>ISMORNING</t>
    <phoneticPr fontId="3"/>
  </si>
  <si>
    <t>ページ数</t>
    <rPh sb="3" eb="4">
      <t>スウ</t>
    </rPh>
    <phoneticPr fontId="3"/>
  </si>
  <si>
    <t>PAGES</t>
    <phoneticPr fontId="3"/>
  </si>
  <si>
    <t>投稿者</t>
    <rPh sb="0" eb="3">
      <t>トウコウシャ</t>
    </rPh>
    <phoneticPr fontId="3"/>
  </si>
  <si>
    <t>AUTHOR</t>
    <phoneticPr fontId="3"/>
  </si>
  <si>
    <t>M_NEWSPAPER</t>
    <phoneticPr fontId="3"/>
  </si>
  <si>
    <t>新聞の種類</t>
    <rPh sb="0" eb="1">
      <t>シンブン</t>
    </rPh>
    <rPh sb="2" eb="4">
      <t>シュルイ</t>
    </rPh>
    <phoneticPr fontId="3"/>
  </si>
  <si>
    <t>UPDT</t>
    <phoneticPr fontId="3"/>
  </si>
  <si>
    <t>新聞名</t>
    <rPh sb="0" eb="3">
      <t>シンブンメイ</t>
    </rPh>
    <phoneticPr fontId="3"/>
  </si>
  <si>
    <t>PAPERNAME</t>
    <phoneticPr fontId="3"/>
  </si>
  <si>
    <t>No</t>
    <phoneticPr fontId="3"/>
  </si>
  <si>
    <t>D_SPEACH</t>
    <phoneticPr fontId="3"/>
  </si>
  <si>
    <t>スピーチメディア</t>
    <phoneticPr fontId="3"/>
  </si>
  <si>
    <t>SID</t>
    <phoneticPr fontId="3"/>
  </si>
  <si>
    <t>スピーチID</t>
    <phoneticPr fontId="3"/>
  </si>
  <si>
    <t>題名</t>
    <rPh sb="0" eb="2">
      <t>ダイメイ</t>
    </rPh>
    <phoneticPr fontId="3"/>
  </si>
  <si>
    <t>TITLE</t>
    <phoneticPr fontId="3"/>
  </si>
  <si>
    <t>メディア</t>
    <phoneticPr fontId="3"/>
  </si>
  <si>
    <t>MEDIA</t>
    <phoneticPr fontId="3"/>
  </si>
  <si>
    <t>timestamp(6)</t>
    <phoneticPr fontId="3"/>
  </si>
  <si>
    <t>nvarchar2(255)</t>
    <phoneticPr fontId="3"/>
  </si>
  <si>
    <t>nvarchar2(100)</t>
    <phoneticPr fontId="3"/>
  </si>
  <si>
    <t>blob</t>
    <phoneticPr fontId="3"/>
  </si>
  <si>
    <t>number(10)</t>
  </si>
  <si>
    <t>number(10)</t>
    <phoneticPr fontId="3"/>
  </si>
  <si>
    <t>nvarchar2(1000)</t>
    <phoneticPr fontId="3"/>
  </si>
  <si>
    <t>PID</t>
    <phoneticPr fontId="3"/>
  </si>
  <si>
    <t>PUBDT, ISMORNING, NID</t>
    <phoneticPr fontId="3"/>
  </si>
  <si>
    <t>Yes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</si>
</sst>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scheme val="minor"/>
    </font>
    <font>
      <b/>
      <sz val="11"/>
      <color theme="1"/>
      <name val="ＭＳ Ｐゴシック"/>
      <family val="2"/>
      <scheme val="minor"/>
    </font>
    <font>
      <b/>
      <sz val="20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1" xfId="0" applyFont="1" applyFill="1" applyBorder="1" applyAlignment="1">
      <alignment vertical="top"/>
    </xf>
    <xf numFmtId="0" fontId="1" fillId="2" borderId="1" xfId="0" applyFont="1" applyFill="1" applyBorder="1"/>
    <xf numFmtId="0" fontId="1" fillId="2" borderId="1" xfId="0" applyFont="1" applyFill="1" applyBorder="1" applyAlignment="1">
      <alignment horizontal="center" vertical="top"/>
    </xf>
    <xf numFmtId="0" fontId="0" fillId="0" borderId="1" xfId="0" applyFont="1" applyFill="1" applyBorder="1" applyAlignment="1">
      <alignment vertical="top"/>
    </xf>
    <xf numFmtId="0" fontId="0" fillId="3" borderId="1" xfId="0" applyFont="1" applyFill="1" applyBorder="1" applyAlignment="1">
      <alignment vertical="top"/>
    </xf>
    <xf numFmtId="0" fontId="0" fillId="0" borderId="1" xfId="0" quotePrefix="1" applyBorder="1" applyAlignment="1">
      <alignment vertical="top"/>
    </xf>
    <xf numFmtId="0" fontId="0" fillId="0" borderId="1" xfId="0" applyBorder="1" applyAlignment="1">
      <alignment vertical="top" wrapText="1"/>
    </xf>
    <xf numFmtId="0" fontId="2" fillId="0" borderId="0" xfId="0" applyFont="1" applyAlignment="1">
      <alignment horizontal="center" vertical="top"/>
    </xf>
    <xf numFmtId="0" fontId="4" fillId="0" borderId="1" xfId="0" applyFont="1" applyFill="1" applyBorder="1" applyAlignment="1">
      <alignment vertical="top"/>
    </xf>
    <xf numFmtId="0" fontId="4" fillId="0" borderId="1" xfId="0" applyFont="1" applyBorder="1" applyAlignment="1">
      <alignment vertical="top"/>
    </xf>
    <xf numFmtId="0" fontId="0" fillId="0" borderId="1" xfId="0" quotePrefix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1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left" vertical="top" wrapText="1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workbookViewId="0"/>
  </sheetViews>
  <sheetFormatPr defaultColWidth="9.125" defaultRowHeight="13.5" x14ac:dyDescent="0.15"/>
  <cols>
    <col min="1" max="2" width="4.75" style="1" customWidth="1"/>
    <col min="3" max="3" width="100.75" style="1" customWidth="1"/>
    <col min="4" max="5" width="4.75" style="1" customWidth="1"/>
    <col min="6" max="16384" width="9.125" style="1"/>
  </cols>
  <sheetData>
    <row r="1" spans="1:5" ht="30" customHeight="1" x14ac:dyDescent="0.15">
      <c r="C1" s="18" t="s">
        <v>112</v>
      </c>
    </row>
    <row r="3" spans="1:5" x14ac:dyDescent="0.15">
      <c r="A3" s="3" t="s">
        <v>47</v>
      </c>
      <c r="B3" s="3"/>
      <c r="C3" s="3" t="s">
        <v>113</v>
      </c>
      <c r="D3" s="3" t="s">
        <v>114</v>
      </c>
      <c r="E3" s="3" t="s">
        <v>115</v>
      </c>
    </row>
    <row r="4" spans="1:5" x14ac:dyDescent="0.15">
      <c r="A4" s="1">
        <v>1</v>
      </c>
      <c r="B4" t="s">
        <v>116</v>
      </c>
      <c r="C4" s="1" t="str">
        <f t="shared" ref="C4:C14" si="0" xml:space="preserve"> GetTableName(A4+1)</f>
        <v>~History~</v>
      </c>
      <c r="D4" s="1">
        <v>4</v>
      </c>
    </row>
    <row r="5" spans="1:5" x14ac:dyDescent="0.15">
      <c r="A5" s="1">
        <f t="shared" ref="A5:A14" si="1">A4+1</f>
        <v>2</v>
      </c>
      <c r="B5" t="s">
        <v>116</v>
      </c>
      <c r="C5" s="1" t="str">
        <f t="shared" si="0"/>
        <v>~Rules~</v>
      </c>
      <c r="D5" s="1">
        <f t="shared" ref="D5:D14" si="2">IF(C5 = "", "", D4 + IF( INT(E4) = 0, 1, E4) )</f>
        <v>5</v>
      </c>
    </row>
    <row r="6" spans="1:5" x14ac:dyDescent="0.15">
      <c r="A6" s="1">
        <f t="shared" si="1"/>
        <v>3</v>
      </c>
      <c r="B6" t="s">
        <v>116</v>
      </c>
      <c r="C6" s="1" t="str">
        <f t="shared" si="0"/>
        <v>ALLDATATYPES</v>
      </c>
      <c r="D6" s="1">
        <f t="shared" si="2"/>
        <v>6</v>
      </c>
    </row>
    <row r="7" spans="1:5" x14ac:dyDescent="0.15">
      <c r="A7" s="1">
        <f t="shared" si="1"/>
        <v>4</v>
      </c>
      <c r="B7" t="s">
        <v>116</v>
      </c>
      <c r="C7" s="1" t="str">
        <f t="shared" si="0"/>
        <v>D_NEWS</v>
      </c>
      <c r="D7" s="1">
        <f t="shared" si="2"/>
        <v>7</v>
      </c>
    </row>
    <row r="8" spans="1:5" x14ac:dyDescent="0.15">
      <c r="A8" s="1">
        <f t="shared" si="1"/>
        <v>5</v>
      </c>
      <c r="B8" t="s">
        <v>116</v>
      </c>
      <c r="C8" s="1" t="str">
        <f t="shared" si="0"/>
        <v>M_NEWSPAPER</v>
      </c>
      <c r="D8" s="1">
        <f t="shared" si="2"/>
        <v>8</v>
      </c>
    </row>
    <row r="9" spans="1:5" x14ac:dyDescent="0.15">
      <c r="A9" s="1">
        <f t="shared" si="1"/>
        <v>6</v>
      </c>
      <c r="B9" t="s">
        <v>116</v>
      </c>
      <c r="C9" s="1" t="str">
        <f t="shared" si="0"/>
        <v>D_SPEACH</v>
      </c>
      <c r="D9" s="1">
        <f t="shared" si="2"/>
        <v>9</v>
      </c>
    </row>
    <row r="10" spans="1:5" x14ac:dyDescent="0.15">
      <c r="A10" s="1">
        <f t="shared" si="1"/>
        <v>7</v>
      </c>
      <c r="B10" t="s">
        <v>116</v>
      </c>
      <c r="C10" s="1" t="str">
        <f t="shared" si="0"/>
        <v/>
      </c>
      <c r="D10" s="1" t="str">
        <f t="shared" si="2"/>
        <v/>
      </c>
    </row>
    <row r="11" spans="1:5" x14ac:dyDescent="0.15">
      <c r="A11" s="1">
        <f t="shared" si="1"/>
        <v>8</v>
      </c>
      <c r="B11" t="s">
        <v>116</v>
      </c>
      <c r="C11" s="1" t="str">
        <f t="shared" si="0"/>
        <v/>
      </c>
      <c r="D11" s="1" t="str">
        <f t="shared" si="2"/>
        <v/>
      </c>
    </row>
    <row r="12" spans="1:5" x14ac:dyDescent="0.15">
      <c r="A12" s="1">
        <f t="shared" si="1"/>
        <v>9</v>
      </c>
      <c r="B12" t="s">
        <v>116</v>
      </c>
      <c r="C12" s="1" t="str">
        <f t="shared" si="0"/>
        <v/>
      </c>
      <c r="D12" s="1" t="str">
        <f t="shared" si="2"/>
        <v/>
      </c>
    </row>
    <row r="13" spans="1:5" x14ac:dyDescent="0.15">
      <c r="A13" s="1">
        <f t="shared" si="1"/>
        <v>10</v>
      </c>
      <c r="B13" t="s">
        <v>116</v>
      </c>
      <c r="C13" s="1" t="str">
        <f t="shared" si="0"/>
        <v/>
      </c>
      <c r="D13" s="1" t="str">
        <f t="shared" si="2"/>
        <v/>
      </c>
    </row>
    <row r="14" spans="1:5" x14ac:dyDescent="0.15">
      <c r="A14" s="1">
        <f t="shared" si="1"/>
        <v>11</v>
      </c>
      <c r="B14" t="s">
        <v>116</v>
      </c>
      <c r="C14" s="1" t="str">
        <f t="shared" si="0"/>
        <v/>
      </c>
      <c r="D14" s="1" t="str">
        <f t="shared" si="2"/>
        <v/>
      </c>
    </row>
  </sheetData>
  <phoneticPr fontId="3"/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ColWidth="9.125" defaultRowHeight="13.5" x14ac:dyDescent="0.15"/>
  <cols>
    <col min="1" max="1" width="4.75" style="1" customWidth="1"/>
    <col min="2" max="3" width="12.75" style="1" customWidth="1"/>
    <col min="4" max="4" width="24.75" style="1" customWidth="1"/>
    <col min="5" max="5" width="64.75" style="1" customWidth="1"/>
    <col min="6" max="16384" width="9.125" style="1"/>
  </cols>
  <sheetData>
    <row r="1" spans="1:5" x14ac:dyDescent="0.1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15">
      <c r="A2" s="5"/>
      <c r="B2" s="5"/>
      <c r="C2" s="5"/>
      <c r="D2" s="5"/>
      <c r="E2" s="5"/>
    </row>
    <row r="3" spans="1:5" x14ac:dyDescent="0.15">
      <c r="A3" s="5"/>
      <c r="B3" s="5"/>
      <c r="C3" s="5"/>
      <c r="D3" s="5"/>
      <c r="E3" s="5"/>
    </row>
    <row r="4" spans="1:5" x14ac:dyDescent="0.15">
      <c r="A4" s="5"/>
      <c r="B4" s="5"/>
      <c r="C4" s="5"/>
      <c r="D4" s="5"/>
      <c r="E4" s="5"/>
    </row>
    <row r="5" spans="1:5" x14ac:dyDescent="0.15">
      <c r="A5" s="5"/>
      <c r="B5" s="5"/>
      <c r="C5" s="5"/>
      <c r="D5" s="5"/>
      <c r="E5" s="5"/>
    </row>
    <row r="6" spans="1:5" x14ac:dyDescent="0.15">
      <c r="A6" s="5"/>
      <c r="B6" s="5"/>
      <c r="C6" s="5"/>
      <c r="D6" s="5"/>
      <c r="E6" s="5"/>
    </row>
    <row r="7" spans="1:5" x14ac:dyDescent="0.15">
      <c r="A7" s="5"/>
      <c r="B7" s="5"/>
      <c r="C7" s="5"/>
      <c r="D7" s="5"/>
      <c r="E7" s="5"/>
    </row>
    <row r="8" spans="1:5" x14ac:dyDescent="0.15">
      <c r="A8" s="5"/>
      <c r="B8" s="5"/>
      <c r="C8" s="5"/>
      <c r="D8" s="5"/>
      <c r="E8" s="5"/>
    </row>
    <row r="9" spans="1:5" x14ac:dyDescent="0.15">
      <c r="A9" s="5"/>
      <c r="B9" s="5"/>
      <c r="C9" s="5"/>
      <c r="D9" s="5"/>
      <c r="E9" s="5"/>
    </row>
    <row r="10" spans="1:5" x14ac:dyDescent="0.15">
      <c r="A10" s="5"/>
      <c r="B10" s="5"/>
      <c r="C10" s="5"/>
      <c r="D10" s="5"/>
      <c r="E10" s="5"/>
    </row>
    <row r="11" spans="1:5" x14ac:dyDescent="0.15">
      <c r="A11" s="5"/>
      <c r="B11" s="5"/>
      <c r="C11" s="5"/>
      <c r="D11" s="5"/>
      <c r="E11" s="5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8"/>
  <sheetViews>
    <sheetView workbookViewId="0"/>
  </sheetViews>
  <sheetFormatPr defaultColWidth="9.125" defaultRowHeight="13.5" x14ac:dyDescent="0.15"/>
  <cols>
    <col min="1" max="1" width="2.75" style="1" customWidth="1"/>
    <col min="2" max="2" width="12.75" style="1" customWidth="1"/>
    <col min="3" max="3" width="32.75" style="1" customWidth="1"/>
    <col min="4" max="4" width="48.75" style="1" customWidth="1"/>
    <col min="5" max="5" width="2.75" style="1" customWidth="1"/>
    <col min="6" max="16384" width="9.125" style="1"/>
  </cols>
  <sheetData>
    <row r="1" spans="1:5" x14ac:dyDescent="0.15">
      <c r="A1" s="2" t="s">
        <v>4</v>
      </c>
    </row>
    <row r="2" spans="1:5" x14ac:dyDescent="0.15">
      <c r="A2" s="3" t="s">
        <v>5</v>
      </c>
      <c r="B2" s="2" t="s">
        <v>6</v>
      </c>
      <c r="C2" s="1" t="s">
        <v>7</v>
      </c>
      <c r="D2" s="6" t="s">
        <v>8</v>
      </c>
    </row>
    <row r="3" spans="1:5" ht="27" x14ac:dyDescent="0.15">
      <c r="A3" s="3" t="s">
        <v>5</v>
      </c>
      <c r="B3" s="2" t="s">
        <v>9</v>
      </c>
      <c r="C3" s="1" t="s">
        <v>7</v>
      </c>
      <c r="D3" s="9" t="s">
        <v>10</v>
      </c>
    </row>
    <row r="4" spans="1:5" ht="27" x14ac:dyDescent="0.1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15">
      <c r="A5" s="3" t="s">
        <v>5</v>
      </c>
      <c r="B5" s="2" t="s">
        <v>13</v>
      </c>
      <c r="C5" s="1" t="s">
        <v>14</v>
      </c>
    </row>
    <row r="6" spans="1:5" x14ac:dyDescent="0.15">
      <c r="A6" s="3" t="s">
        <v>5</v>
      </c>
      <c r="B6" s="2" t="s">
        <v>15</v>
      </c>
      <c r="C6" s="1" t="s">
        <v>16</v>
      </c>
    </row>
    <row r="7" spans="1:5" x14ac:dyDescent="0.15">
      <c r="A7" s="10"/>
      <c r="C7" s="1" t="s">
        <v>17</v>
      </c>
    </row>
    <row r="8" spans="1:5" x14ac:dyDescent="0.15">
      <c r="A8" s="10"/>
      <c r="C8" s="1" t="s">
        <v>18</v>
      </c>
    </row>
    <row r="9" spans="1:5" x14ac:dyDescent="0.15">
      <c r="A9" s="10"/>
      <c r="C9" s="1" t="s">
        <v>19</v>
      </c>
      <c r="E9" s="6" t="s">
        <v>20</v>
      </c>
    </row>
    <row r="10" spans="1:5" ht="27" x14ac:dyDescent="0.15">
      <c r="A10" s="10"/>
      <c r="D10" s="7" t="s">
        <v>21</v>
      </c>
      <c r="E10" s="8" t="s">
        <v>22</v>
      </c>
    </row>
    <row r="11" spans="1:5" x14ac:dyDescent="0.15">
      <c r="A11" s="3" t="s">
        <v>5</v>
      </c>
      <c r="B11" s="2" t="s">
        <v>23</v>
      </c>
    </row>
    <row r="12" spans="1:5" x14ac:dyDescent="0.15">
      <c r="A12" s="3" t="s">
        <v>5</v>
      </c>
      <c r="B12" s="2" t="s">
        <v>24</v>
      </c>
    </row>
    <row r="13" spans="1:5" x14ac:dyDescent="0.15">
      <c r="A13" s="3" t="s">
        <v>5</v>
      </c>
      <c r="B13" s="2" t="s">
        <v>25</v>
      </c>
      <c r="C13" s="1" t="s">
        <v>26</v>
      </c>
    </row>
    <row r="14" spans="1:5" x14ac:dyDescent="0.15">
      <c r="A14" s="10"/>
      <c r="C14" s="1" t="s">
        <v>27</v>
      </c>
    </row>
    <row r="15" spans="1:5" x14ac:dyDescent="0.15">
      <c r="A15" s="3" t="s">
        <v>5</v>
      </c>
      <c r="B15" s="2" t="s">
        <v>28</v>
      </c>
      <c r="C15" s="1" t="s">
        <v>29</v>
      </c>
    </row>
    <row r="16" spans="1:5" x14ac:dyDescent="0.15">
      <c r="A16" s="3" t="s">
        <v>5</v>
      </c>
      <c r="B16" s="2" t="s">
        <v>30</v>
      </c>
      <c r="C16" s="1" t="s">
        <v>31</v>
      </c>
    </row>
    <row r="17" spans="1:1" x14ac:dyDescent="0.15">
      <c r="A17" s="10"/>
    </row>
    <row r="18" spans="1:1" x14ac:dyDescent="0.15">
      <c r="A18" s="10"/>
    </row>
    <row r="19" spans="1:1" x14ac:dyDescent="0.15">
      <c r="A19" s="10"/>
    </row>
    <row r="20" spans="1:1" x14ac:dyDescent="0.15">
      <c r="A20" s="10"/>
    </row>
    <row r="21" spans="1:1" x14ac:dyDescent="0.15">
      <c r="A21" s="10"/>
    </row>
    <row r="22" spans="1:1" x14ac:dyDescent="0.15">
      <c r="A22" s="10"/>
    </row>
    <row r="23" spans="1:1" x14ac:dyDescent="0.15">
      <c r="A23" s="10"/>
    </row>
    <row r="24" spans="1:1" x14ac:dyDescent="0.15">
      <c r="A24" s="10"/>
    </row>
    <row r="25" spans="1:1" x14ac:dyDescent="0.15">
      <c r="A25" s="10"/>
    </row>
    <row r="26" spans="1:1" x14ac:dyDescent="0.15">
      <c r="A26" s="10"/>
    </row>
    <row r="27" spans="1:1" x14ac:dyDescent="0.15">
      <c r="A27" s="10"/>
    </row>
    <row r="28" spans="1:1" x14ac:dyDescent="0.15">
      <c r="A28" s="10"/>
    </row>
  </sheetData>
  <phoneticPr fontId="3"/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34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 activeCell="C18" sqref="C18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41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1" t="s">
        <v>42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43</v>
      </c>
      <c r="C3" s="22"/>
      <c r="D3" s="22"/>
      <c r="E3" s="22"/>
      <c r="F3" s="22"/>
      <c r="G3" s="5"/>
      <c r="H3" s="5"/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44</v>
      </c>
      <c r="C5" s="22"/>
      <c r="D5" s="22"/>
      <c r="E5" s="22"/>
      <c r="F5" s="22"/>
      <c r="G5" s="5"/>
      <c r="H5" s="5"/>
      <c r="I5" s="5"/>
    </row>
    <row r="7" spans="1:9" x14ac:dyDescent="0.15">
      <c r="A7" s="4" t="s">
        <v>37</v>
      </c>
      <c r="B7" s="4" t="s">
        <v>38</v>
      </c>
      <c r="C7" s="4" t="s">
        <v>39</v>
      </c>
      <c r="D7" s="4" t="s">
        <v>40</v>
      </c>
      <c r="E7" s="4" t="s">
        <v>24</v>
      </c>
      <c r="F7" s="23" t="s">
        <v>33</v>
      </c>
      <c r="G7" s="23"/>
      <c r="H7" s="23"/>
      <c r="I7" s="23"/>
    </row>
    <row r="8" spans="1:9" x14ac:dyDescent="0.15">
      <c r="A8" s="15" t="s">
        <v>45</v>
      </c>
      <c r="B8" s="15" t="s">
        <v>43</v>
      </c>
      <c r="C8" s="5" t="s">
        <v>46</v>
      </c>
      <c r="D8" s="5" t="s">
        <v>47</v>
      </c>
      <c r="E8" s="5"/>
      <c r="F8" s="21" t="s">
        <v>48</v>
      </c>
      <c r="G8" s="22"/>
      <c r="H8" s="22"/>
      <c r="I8" s="22"/>
    </row>
    <row r="9" spans="1:9" x14ac:dyDescent="0.15">
      <c r="A9" s="14" t="s">
        <v>49</v>
      </c>
      <c r="B9" s="14" t="s">
        <v>44</v>
      </c>
      <c r="C9" s="5" t="s">
        <v>50</v>
      </c>
      <c r="D9" s="5" t="s">
        <v>47</v>
      </c>
      <c r="E9" s="5"/>
      <c r="F9" s="21" t="s">
        <v>51</v>
      </c>
      <c r="G9" s="22"/>
      <c r="H9" s="22"/>
      <c r="I9" s="22"/>
    </row>
    <row r="10" spans="1:9" x14ac:dyDescent="0.15">
      <c r="A10" s="14"/>
      <c r="B10" s="14" t="s">
        <v>52</v>
      </c>
      <c r="C10" s="5" t="s">
        <v>46</v>
      </c>
      <c r="D10" s="5" t="s">
        <v>47</v>
      </c>
      <c r="E10" s="16" t="s">
        <v>53</v>
      </c>
      <c r="F10" s="21" t="s">
        <v>54</v>
      </c>
      <c r="G10" s="22"/>
      <c r="H10" s="22"/>
      <c r="I10" s="22"/>
    </row>
    <row r="11" spans="1:9" x14ac:dyDescent="0.15">
      <c r="A11" s="14"/>
      <c r="B11" s="14" t="s">
        <v>55</v>
      </c>
      <c r="C11" s="5" t="s">
        <v>56</v>
      </c>
      <c r="D11" s="5" t="s">
        <v>47</v>
      </c>
      <c r="E11" s="16" t="s">
        <v>57</v>
      </c>
      <c r="F11" s="21" t="s">
        <v>54</v>
      </c>
      <c r="G11" s="22"/>
      <c r="H11" s="22"/>
      <c r="I11" s="22"/>
    </row>
    <row r="12" spans="1:9" x14ac:dyDescent="0.15">
      <c r="A12" s="14"/>
      <c r="B12" s="14" t="s">
        <v>58</v>
      </c>
      <c r="C12" s="5" t="s">
        <v>46</v>
      </c>
      <c r="D12" s="5" t="s">
        <v>47</v>
      </c>
      <c r="E12" s="16" t="s">
        <v>59</v>
      </c>
      <c r="F12" s="21" t="s">
        <v>54</v>
      </c>
      <c r="G12" s="22"/>
      <c r="H12" s="22"/>
      <c r="I12" s="22"/>
    </row>
    <row r="13" spans="1:9" x14ac:dyDescent="0.15">
      <c r="A13" s="14"/>
      <c r="B13" s="14" t="s">
        <v>60</v>
      </c>
      <c r="C13" s="5" t="s">
        <v>61</v>
      </c>
      <c r="D13" s="5" t="s">
        <v>47</v>
      </c>
      <c r="E13" s="16" t="s">
        <v>62</v>
      </c>
      <c r="F13" s="21" t="s">
        <v>54</v>
      </c>
      <c r="G13" s="22"/>
      <c r="H13" s="22"/>
      <c r="I13" s="22"/>
    </row>
    <row r="14" spans="1:9" x14ac:dyDescent="0.15">
      <c r="A14" s="14"/>
      <c r="B14" s="14" t="s">
        <v>63</v>
      </c>
      <c r="C14" s="5" t="s">
        <v>64</v>
      </c>
      <c r="D14" s="5" t="s">
        <v>47</v>
      </c>
      <c r="E14" s="16" t="s">
        <v>65</v>
      </c>
      <c r="F14" s="21" t="s">
        <v>54</v>
      </c>
      <c r="G14" s="22"/>
      <c r="H14" s="22"/>
      <c r="I14" s="22"/>
    </row>
    <row r="15" spans="1:9" x14ac:dyDescent="0.15">
      <c r="A15" s="14"/>
      <c r="B15" s="14" t="s">
        <v>66</v>
      </c>
      <c r="C15" s="5" t="s">
        <v>67</v>
      </c>
      <c r="D15" s="5" t="s">
        <v>47</v>
      </c>
      <c r="E15" s="16" t="s">
        <v>68</v>
      </c>
      <c r="F15" s="21" t="s">
        <v>69</v>
      </c>
      <c r="G15" s="22"/>
      <c r="H15" s="22"/>
      <c r="I15" s="22"/>
    </row>
    <row r="16" spans="1:9" x14ac:dyDescent="0.15">
      <c r="A16" s="14"/>
      <c r="B16" s="14" t="s">
        <v>70</v>
      </c>
      <c r="C16" s="5" t="s">
        <v>71</v>
      </c>
      <c r="D16" s="5" t="s">
        <v>47</v>
      </c>
      <c r="E16" s="16" t="s">
        <v>72</v>
      </c>
      <c r="F16" s="21" t="s">
        <v>69</v>
      </c>
      <c r="G16" s="22"/>
      <c r="H16" s="22"/>
      <c r="I16" s="22"/>
    </row>
    <row r="17" spans="1:9" x14ac:dyDescent="0.15">
      <c r="A17" s="14"/>
      <c r="B17" s="14" t="s">
        <v>73</v>
      </c>
      <c r="C17" s="5" t="s">
        <v>74</v>
      </c>
      <c r="D17" s="5" t="s">
        <v>47</v>
      </c>
      <c r="E17" s="16"/>
      <c r="F17" s="21" t="s">
        <v>75</v>
      </c>
      <c r="G17" s="22"/>
      <c r="H17" s="22"/>
      <c r="I17" s="22"/>
    </row>
    <row r="18" spans="1:9" x14ac:dyDescent="0.15">
      <c r="A18" s="14"/>
      <c r="B18" s="14" t="s">
        <v>76</v>
      </c>
      <c r="C18" s="5" t="s">
        <v>151</v>
      </c>
      <c r="D18" s="5" t="s">
        <v>47</v>
      </c>
      <c r="E18" s="16"/>
      <c r="F18" s="21" t="s">
        <v>75</v>
      </c>
      <c r="G18" s="22"/>
      <c r="H18" s="22"/>
      <c r="I18" s="22"/>
    </row>
    <row r="19" spans="1:9" x14ac:dyDescent="0.15">
      <c r="A19" s="14"/>
      <c r="B19" s="14" t="s">
        <v>78</v>
      </c>
      <c r="C19" s="5" t="s">
        <v>79</v>
      </c>
      <c r="D19" s="5" t="s">
        <v>47</v>
      </c>
      <c r="E19" s="16"/>
      <c r="F19" s="21" t="s">
        <v>75</v>
      </c>
      <c r="G19" s="22"/>
      <c r="H19" s="22"/>
      <c r="I19" s="22"/>
    </row>
    <row r="20" spans="1:9" x14ac:dyDescent="0.15">
      <c r="A20" s="14"/>
      <c r="B20" s="14" t="s">
        <v>80</v>
      </c>
      <c r="C20" s="5" t="s">
        <v>81</v>
      </c>
      <c r="D20" s="5" t="s">
        <v>47</v>
      </c>
      <c r="E20" s="16"/>
      <c r="F20" s="21" t="s">
        <v>75</v>
      </c>
      <c r="G20" s="22"/>
      <c r="H20" s="22"/>
      <c r="I20" s="22"/>
    </row>
    <row r="21" spans="1:9" x14ac:dyDescent="0.15">
      <c r="A21" s="14"/>
      <c r="B21" s="14" t="s">
        <v>82</v>
      </c>
      <c r="C21" s="5" t="s">
        <v>83</v>
      </c>
      <c r="D21" s="5" t="s">
        <v>47</v>
      </c>
      <c r="E21" s="16"/>
      <c r="F21" s="21" t="s">
        <v>75</v>
      </c>
      <c r="G21" s="22"/>
      <c r="H21" s="22"/>
      <c r="I21" s="22"/>
    </row>
    <row r="22" spans="1:9" x14ac:dyDescent="0.15">
      <c r="A22" s="14"/>
      <c r="B22" s="14" t="s">
        <v>84</v>
      </c>
      <c r="C22" s="5" t="s">
        <v>85</v>
      </c>
      <c r="D22" s="5" t="s">
        <v>47</v>
      </c>
      <c r="E22" s="16"/>
      <c r="F22" s="21" t="s">
        <v>75</v>
      </c>
      <c r="G22" s="22"/>
      <c r="H22" s="22"/>
      <c r="I22" s="22"/>
    </row>
    <row r="23" spans="1:9" x14ac:dyDescent="0.15">
      <c r="A23" s="14"/>
      <c r="B23" s="14" t="s">
        <v>86</v>
      </c>
      <c r="C23" s="5" t="s">
        <v>87</v>
      </c>
      <c r="D23" s="5" t="s">
        <v>88</v>
      </c>
      <c r="E23" s="16"/>
      <c r="F23" s="21" t="s">
        <v>89</v>
      </c>
      <c r="G23" s="22"/>
      <c r="H23" s="22"/>
      <c r="I23" s="22"/>
    </row>
    <row r="24" spans="1:9" x14ac:dyDescent="0.15">
      <c r="A24" s="14"/>
      <c r="B24" s="14" t="s">
        <v>90</v>
      </c>
      <c r="C24" s="5" t="s">
        <v>91</v>
      </c>
      <c r="D24" s="5" t="s">
        <v>47</v>
      </c>
      <c r="E24" s="16" t="s">
        <v>92</v>
      </c>
      <c r="F24" s="21" t="s">
        <v>89</v>
      </c>
      <c r="G24" s="22"/>
      <c r="H24" s="22"/>
      <c r="I24" s="22"/>
    </row>
    <row r="25" spans="1:9" x14ac:dyDescent="0.15">
      <c r="A25" s="14"/>
      <c r="B25" s="14" t="s">
        <v>93</v>
      </c>
      <c r="C25" s="5" t="s">
        <v>94</v>
      </c>
      <c r="D25" s="5" t="s">
        <v>88</v>
      </c>
      <c r="E25" s="16"/>
      <c r="F25" s="21" t="s">
        <v>89</v>
      </c>
      <c r="G25" s="22"/>
      <c r="H25" s="22"/>
      <c r="I25" s="22"/>
    </row>
    <row r="26" spans="1:9" x14ac:dyDescent="0.15">
      <c r="A26" s="14"/>
      <c r="B26" s="14" t="s">
        <v>95</v>
      </c>
      <c r="C26" s="5" t="s">
        <v>96</v>
      </c>
      <c r="D26" s="5" t="s">
        <v>88</v>
      </c>
      <c r="E26" s="16"/>
      <c r="F26" s="21" t="s">
        <v>89</v>
      </c>
      <c r="G26" s="22"/>
      <c r="H26" s="22"/>
      <c r="I26" s="22"/>
    </row>
    <row r="27" spans="1:9" x14ac:dyDescent="0.15">
      <c r="A27" s="14"/>
      <c r="B27" s="14" t="s">
        <v>97</v>
      </c>
      <c r="C27" s="5" t="s">
        <v>152</v>
      </c>
      <c r="D27" s="5" t="s">
        <v>47</v>
      </c>
      <c r="E27" s="16" t="s">
        <v>99</v>
      </c>
      <c r="F27" s="21" t="s">
        <v>89</v>
      </c>
      <c r="G27" s="22"/>
      <c r="H27" s="22"/>
      <c r="I27" s="22"/>
    </row>
    <row r="28" spans="1:9" x14ac:dyDescent="0.15">
      <c r="A28" s="14"/>
      <c r="B28" s="14" t="s">
        <v>100</v>
      </c>
      <c r="C28" s="5" t="s">
        <v>101</v>
      </c>
      <c r="D28" s="5" t="s">
        <v>88</v>
      </c>
      <c r="E28" s="16"/>
      <c r="F28" s="21" t="s">
        <v>89</v>
      </c>
      <c r="G28" s="22"/>
      <c r="H28" s="22"/>
      <c r="I28" s="22"/>
    </row>
    <row r="29" spans="1:9" x14ac:dyDescent="0.15">
      <c r="A29" s="14"/>
      <c r="B29" s="14" t="s">
        <v>102</v>
      </c>
      <c r="C29" s="5" t="s">
        <v>103</v>
      </c>
      <c r="D29" s="5" t="s">
        <v>88</v>
      </c>
      <c r="E29" s="16"/>
      <c r="F29" s="21" t="s">
        <v>104</v>
      </c>
      <c r="G29" s="22"/>
      <c r="H29" s="22"/>
      <c r="I29" s="22"/>
    </row>
    <row r="30" spans="1:9" x14ac:dyDescent="0.15">
      <c r="A30" s="14"/>
      <c r="B30" s="14" t="s">
        <v>105</v>
      </c>
      <c r="C30" s="5" t="s">
        <v>106</v>
      </c>
      <c r="D30" s="5" t="s">
        <v>88</v>
      </c>
      <c r="E30" s="16"/>
      <c r="F30" s="21" t="s">
        <v>104</v>
      </c>
      <c r="G30" s="22"/>
      <c r="H30" s="22"/>
      <c r="I30" s="22"/>
    </row>
    <row r="31" spans="1:9" x14ac:dyDescent="0.15">
      <c r="A31" s="14"/>
      <c r="B31" s="14" t="s">
        <v>107</v>
      </c>
      <c r="C31" s="5" t="s">
        <v>108</v>
      </c>
      <c r="D31" s="5" t="s">
        <v>88</v>
      </c>
      <c r="E31" s="16"/>
      <c r="F31" s="21" t="s">
        <v>104</v>
      </c>
      <c r="G31" s="22"/>
      <c r="H31" s="22"/>
      <c r="I31" s="22"/>
    </row>
    <row r="32" spans="1:9" x14ac:dyDescent="0.15">
      <c r="A32" s="14"/>
      <c r="B32" s="14" t="s">
        <v>109</v>
      </c>
      <c r="C32" s="5" t="s">
        <v>110</v>
      </c>
      <c r="D32" s="5" t="s">
        <v>88</v>
      </c>
      <c r="E32" s="16"/>
      <c r="F32" s="21" t="s">
        <v>104</v>
      </c>
      <c r="G32" s="22"/>
      <c r="H32" s="22"/>
      <c r="I32" s="22"/>
    </row>
    <row r="33" spans="1:9" x14ac:dyDescent="0.15">
      <c r="A33" s="14"/>
      <c r="B33" s="14"/>
      <c r="C33" s="5"/>
      <c r="D33" s="5"/>
      <c r="E33" s="16"/>
      <c r="F33" s="21"/>
      <c r="G33" s="22"/>
      <c r="H33" s="22"/>
      <c r="I33" s="22"/>
    </row>
    <row r="34" spans="1:9" x14ac:dyDescent="0.15">
      <c r="A34" s="14"/>
      <c r="B34" s="14"/>
      <c r="C34" s="5"/>
      <c r="D34" s="5"/>
      <c r="E34" s="16"/>
      <c r="F34" s="21"/>
      <c r="G34" s="22"/>
      <c r="H34" s="22"/>
      <c r="I34" s="22"/>
    </row>
  </sheetData>
  <mergeCells count="33">
    <mergeCell ref="F34:I34"/>
    <mergeCell ref="F28:I28"/>
    <mergeCell ref="F29:I29"/>
    <mergeCell ref="F30:I30"/>
    <mergeCell ref="F31:I31"/>
    <mergeCell ref="F32:I32"/>
    <mergeCell ref="F33:I33"/>
    <mergeCell ref="F27:I27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13:I13"/>
    <mergeCell ref="F14:I14"/>
    <mergeCell ref="F15:I15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5"/>
  <sheetViews>
    <sheetView tabSelected="1"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D12" sqref="D12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117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1" t="s">
        <v>118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119</v>
      </c>
      <c r="C3" s="22"/>
      <c r="D3" s="22"/>
      <c r="E3" s="22"/>
      <c r="F3" s="22"/>
      <c r="G3" s="5"/>
      <c r="H3" s="5"/>
      <c r="I3" s="5"/>
    </row>
    <row r="4" spans="1:9" x14ac:dyDescent="0.15">
      <c r="A4" s="11" t="s">
        <v>9</v>
      </c>
      <c r="B4" s="24"/>
      <c r="C4" s="22"/>
      <c r="D4" s="22"/>
      <c r="E4" s="22"/>
      <c r="F4" s="22"/>
      <c r="G4" s="5"/>
      <c r="H4" s="5"/>
      <c r="I4" s="5"/>
    </row>
    <row r="5" spans="1:9" ht="15" customHeight="1" x14ac:dyDescent="0.15">
      <c r="A5" s="11" t="s">
        <v>11</v>
      </c>
      <c r="B5" s="22" t="s">
        <v>159</v>
      </c>
      <c r="C5" s="22"/>
      <c r="D5" s="22"/>
      <c r="E5" s="22"/>
      <c r="F5" s="22"/>
      <c r="G5" s="5"/>
      <c r="H5" s="5" t="s">
        <v>120</v>
      </c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3" t="s">
        <v>33</v>
      </c>
      <c r="G7" s="23"/>
      <c r="H7" s="23"/>
      <c r="I7" s="23"/>
    </row>
    <row r="8" spans="1:9" x14ac:dyDescent="0.15">
      <c r="A8" s="14" t="s">
        <v>121</v>
      </c>
      <c r="B8" s="14" t="s">
        <v>122</v>
      </c>
      <c r="C8" s="5" t="s">
        <v>77</v>
      </c>
      <c r="D8" s="5" t="s">
        <v>123</v>
      </c>
      <c r="E8" s="5"/>
      <c r="F8" s="22"/>
      <c r="G8" s="22"/>
      <c r="H8" s="22"/>
      <c r="I8" s="22"/>
    </row>
    <row r="9" spans="1:9" x14ac:dyDescent="0.15">
      <c r="A9" s="14" t="s">
        <v>124</v>
      </c>
      <c r="B9" s="14" t="s">
        <v>119</v>
      </c>
      <c r="C9" s="5" t="s">
        <v>155</v>
      </c>
      <c r="D9" s="5" t="s">
        <v>123</v>
      </c>
      <c r="E9" s="5"/>
      <c r="F9" s="22"/>
      <c r="G9" s="22"/>
      <c r="H9" s="22"/>
      <c r="I9" s="22"/>
    </row>
    <row r="10" spans="1:9" x14ac:dyDescent="0.15">
      <c r="A10" s="19" t="s">
        <v>125</v>
      </c>
      <c r="B10" s="19" t="s">
        <v>126</v>
      </c>
      <c r="C10" s="5" t="s">
        <v>157</v>
      </c>
      <c r="D10" s="5" t="s">
        <v>123</v>
      </c>
      <c r="E10" s="5"/>
      <c r="F10" s="22"/>
      <c r="G10" s="22"/>
      <c r="H10" s="22"/>
      <c r="I10" s="22"/>
    </row>
    <row r="11" spans="1:9" x14ac:dyDescent="0.15">
      <c r="A11" s="19" t="s">
        <v>127</v>
      </c>
      <c r="B11" s="19" t="s">
        <v>128</v>
      </c>
      <c r="C11" s="5" t="s">
        <v>77</v>
      </c>
      <c r="D11" s="5" t="s">
        <v>160</v>
      </c>
      <c r="E11" s="5"/>
      <c r="F11" s="22"/>
      <c r="G11" s="22"/>
      <c r="H11" s="22"/>
      <c r="I11" s="22"/>
    </row>
    <row r="12" spans="1:9" x14ac:dyDescent="0.15">
      <c r="A12" s="19" t="s">
        <v>129</v>
      </c>
      <c r="B12" s="14" t="s">
        <v>130</v>
      </c>
      <c r="C12" s="5" t="s">
        <v>155</v>
      </c>
      <c r="D12" s="5" t="s">
        <v>123</v>
      </c>
      <c r="E12" s="5"/>
      <c r="F12" s="22"/>
      <c r="G12" s="22"/>
      <c r="H12" s="22"/>
      <c r="I12" s="22"/>
    </row>
    <row r="13" spans="1:9" x14ac:dyDescent="0.15">
      <c r="A13" s="14" t="s">
        <v>131</v>
      </c>
      <c r="B13" s="14" t="s">
        <v>132</v>
      </c>
      <c r="C13" s="5" t="s">
        <v>155</v>
      </c>
      <c r="D13" s="5" t="s">
        <v>123</v>
      </c>
      <c r="E13" s="5"/>
      <c r="F13" s="22"/>
      <c r="G13" s="22"/>
      <c r="H13" s="22"/>
      <c r="I13" s="22"/>
    </row>
    <row r="14" spans="1:9" x14ac:dyDescent="0.15">
      <c r="A14" s="14" t="s">
        <v>133</v>
      </c>
      <c r="B14" s="14" t="s">
        <v>134</v>
      </c>
      <c r="C14" s="5" t="s">
        <v>98</v>
      </c>
      <c r="D14" s="5" t="s">
        <v>123</v>
      </c>
      <c r="E14" s="5"/>
      <c r="F14" s="22"/>
      <c r="G14" s="22"/>
      <c r="H14" s="22"/>
      <c r="I14" s="22"/>
    </row>
    <row r="15" spans="1:9" x14ac:dyDescent="0.15">
      <c r="A15" s="14" t="s">
        <v>135</v>
      </c>
      <c r="B15" s="14" t="s">
        <v>136</v>
      </c>
      <c r="C15" s="5" t="s">
        <v>98</v>
      </c>
      <c r="D15" s="5" t="s">
        <v>123</v>
      </c>
      <c r="E15" s="5"/>
      <c r="F15" s="22"/>
      <c r="G15" s="22"/>
      <c r="H15" s="22"/>
      <c r="I15" s="22"/>
    </row>
  </sheetData>
  <mergeCells count="14">
    <mergeCell ref="F7:I7"/>
    <mergeCell ref="B1:H1"/>
    <mergeCell ref="B2:F2"/>
    <mergeCell ref="B3:F3"/>
    <mergeCell ref="B4:F4"/>
    <mergeCell ref="B5:F5"/>
    <mergeCell ref="F14:I14"/>
    <mergeCell ref="F15:I15"/>
    <mergeCell ref="F8:I8"/>
    <mergeCell ref="F9:I9"/>
    <mergeCell ref="F10:I10"/>
    <mergeCell ref="F11:I11"/>
    <mergeCell ref="F12:I12"/>
    <mergeCell ref="F13:I13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B23" sqref="B23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137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1" t="s">
        <v>138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158</v>
      </c>
      <c r="C3" s="22"/>
      <c r="D3" s="22"/>
      <c r="E3" s="22"/>
      <c r="F3" s="22"/>
      <c r="G3" s="5"/>
      <c r="H3" s="5"/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 t="s">
        <v>111</v>
      </c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3" t="s">
        <v>33</v>
      </c>
      <c r="G7" s="23"/>
      <c r="H7" s="23"/>
      <c r="I7" s="23"/>
    </row>
    <row r="8" spans="1:9" x14ac:dyDescent="0.15">
      <c r="A8" s="19" t="s">
        <v>121</v>
      </c>
      <c r="B8" s="19" t="s">
        <v>139</v>
      </c>
      <c r="C8" s="19" t="s">
        <v>77</v>
      </c>
      <c r="D8" s="5" t="s">
        <v>47</v>
      </c>
      <c r="E8" s="5"/>
      <c r="F8" s="22"/>
      <c r="G8" s="22"/>
      <c r="H8" s="22"/>
      <c r="I8" s="22"/>
    </row>
    <row r="9" spans="1:9" x14ac:dyDescent="0.15">
      <c r="A9" s="19" t="s">
        <v>129</v>
      </c>
      <c r="B9" s="19" t="s">
        <v>158</v>
      </c>
      <c r="C9" s="19" t="s">
        <v>155</v>
      </c>
      <c r="D9" s="5" t="s">
        <v>47</v>
      </c>
      <c r="E9" s="5"/>
      <c r="F9" s="22"/>
      <c r="G9" s="22"/>
      <c r="H9" s="22"/>
      <c r="I9" s="22"/>
    </row>
    <row r="10" spans="1:9" x14ac:dyDescent="0.15">
      <c r="A10" s="19" t="s">
        <v>140</v>
      </c>
      <c r="B10" s="19" t="s">
        <v>141</v>
      </c>
      <c r="C10" s="19" t="s">
        <v>153</v>
      </c>
      <c r="D10" s="5" t="s">
        <v>142</v>
      </c>
      <c r="E10" s="5"/>
      <c r="F10" s="22"/>
      <c r="G10" s="22"/>
      <c r="H10" s="22"/>
      <c r="I10" s="22"/>
    </row>
    <row r="11" spans="1:9" x14ac:dyDescent="0.15">
      <c r="A11" s="19"/>
      <c r="B11" s="19"/>
      <c r="C11" s="19"/>
      <c r="D11" s="5"/>
      <c r="E11" s="5"/>
      <c r="F11" s="22"/>
      <c r="G11" s="22"/>
      <c r="H11" s="22"/>
      <c r="I11" s="22"/>
    </row>
    <row r="12" spans="1:9" x14ac:dyDescent="0.15">
      <c r="A12" s="14"/>
      <c r="B12" s="14"/>
      <c r="C12" s="5"/>
      <c r="D12" s="5"/>
      <c r="E12" s="5"/>
      <c r="F12" s="22"/>
      <c r="G12" s="22"/>
      <c r="H12" s="22"/>
      <c r="I12" s="22"/>
    </row>
    <row r="13" spans="1:9" x14ac:dyDescent="0.15">
      <c r="A13" s="14"/>
      <c r="B13" s="14"/>
      <c r="C13" s="5"/>
      <c r="D13" s="5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activeCell="C13" sqref="C13"/>
      <selection pane="topRight" activeCell="C13" sqref="C13"/>
      <selection pane="bottomLeft" activeCell="C13" sqref="C13"/>
      <selection pane="bottomRight" activeCell="C11" sqref="C11"/>
    </sheetView>
  </sheetViews>
  <sheetFormatPr defaultColWidth="9.125" defaultRowHeight="13.5" x14ac:dyDescent="0.15"/>
  <cols>
    <col min="1" max="2" width="24.75" style="1" customWidth="1"/>
    <col min="3" max="3" width="20.75" style="1" customWidth="1"/>
    <col min="4" max="4" width="4.75" style="1" customWidth="1"/>
    <col min="5" max="5" width="12.75" style="1" customWidth="1"/>
    <col min="6" max="6" width="24.75" style="1" customWidth="1"/>
    <col min="7" max="8" width="2.75" style="1" customWidth="1"/>
    <col min="9" max="9" width="12.75" style="1" customWidth="1"/>
    <col min="10" max="16384" width="9.125" style="1"/>
  </cols>
  <sheetData>
    <row r="1" spans="1:9" x14ac:dyDescent="0.15">
      <c r="A1" s="11" t="s">
        <v>32</v>
      </c>
      <c r="B1" s="22" t="s">
        <v>143</v>
      </c>
      <c r="C1" s="22"/>
      <c r="D1" s="22"/>
      <c r="E1" s="22"/>
      <c r="F1" s="22"/>
      <c r="G1" s="22"/>
      <c r="H1" s="22"/>
      <c r="I1" s="12" t="s">
        <v>36</v>
      </c>
    </row>
    <row r="2" spans="1:9" x14ac:dyDescent="0.15">
      <c r="A2" s="11" t="s">
        <v>33</v>
      </c>
      <c r="B2" s="22" t="s">
        <v>144</v>
      </c>
      <c r="C2" s="22"/>
      <c r="D2" s="22"/>
      <c r="E2" s="22"/>
      <c r="F2" s="22"/>
      <c r="G2" s="11" t="s">
        <v>20</v>
      </c>
      <c r="H2" s="11" t="s">
        <v>35</v>
      </c>
      <c r="I2" s="11" t="s">
        <v>34</v>
      </c>
    </row>
    <row r="3" spans="1:9" x14ac:dyDescent="0.15">
      <c r="A3" s="11" t="s">
        <v>6</v>
      </c>
      <c r="B3" s="22" t="s">
        <v>145</v>
      </c>
      <c r="C3" s="22"/>
      <c r="D3" s="22"/>
      <c r="E3" s="22"/>
      <c r="F3" s="22"/>
      <c r="G3" s="5"/>
      <c r="H3" s="5" t="s">
        <v>111</v>
      </c>
      <c r="I3" s="5"/>
    </row>
    <row r="4" spans="1:9" ht="15" customHeight="1" x14ac:dyDescent="0.15">
      <c r="A4" s="11" t="s">
        <v>9</v>
      </c>
      <c r="B4" s="22"/>
      <c r="C4" s="22"/>
      <c r="D4" s="22"/>
      <c r="E4" s="22"/>
      <c r="F4" s="22"/>
      <c r="G4" s="5"/>
      <c r="H4" s="5"/>
      <c r="I4" s="5"/>
    </row>
    <row r="5" spans="1:9" x14ac:dyDescent="0.15">
      <c r="A5" s="11" t="s">
        <v>11</v>
      </c>
      <c r="B5" s="24"/>
      <c r="C5" s="22"/>
      <c r="D5" s="22"/>
      <c r="E5" s="22"/>
      <c r="F5" s="22"/>
      <c r="G5" s="17"/>
      <c r="H5" s="5"/>
      <c r="I5" s="5"/>
    </row>
    <row r="7" spans="1:9" x14ac:dyDescent="0.15">
      <c r="A7" s="13" t="s">
        <v>37</v>
      </c>
      <c r="B7" s="13" t="s">
        <v>38</v>
      </c>
      <c r="C7" s="13" t="s">
        <v>39</v>
      </c>
      <c r="D7" s="13" t="s">
        <v>40</v>
      </c>
      <c r="E7" s="13" t="s">
        <v>24</v>
      </c>
      <c r="F7" s="23" t="s">
        <v>33</v>
      </c>
      <c r="G7" s="23"/>
      <c r="H7" s="23"/>
      <c r="I7" s="23"/>
    </row>
    <row r="8" spans="1:9" x14ac:dyDescent="0.15">
      <c r="A8" s="19" t="s">
        <v>121</v>
      </c>
      <c r="B8" s="19" t="s">
        <v>139</v>
      </c>
      <c r="C8" s="20" t="s">
        <v>77</v>
      </c>
      <c r="D8" s="20" t="s">
        <v>47</v>
      </c>
      <c r="E8" s="5"/>
      <c r="F8" s="22"/>
      <c r="G8" s="22"/>
      <c r="H8" s="22"/>
      <c r="I8" s="22"/>
    </row>
    <row r="9" spans="1:9" x14ac:dyDescent="0.15">
      <c r="A9" s="19" t="s">
        <v>146</v>
      </c>
      <c r="B9" s="19" t="s">
        <v>145</v>
      </c>
      <c r="C9" s="20" t="s">
        <v>156</v>
      </c>
      <c r="D9" s="20" t="s">
        <v>47</v>
      </c>
      <c r="E9" s="5"/>
      <c r="F9" s="22"/>
      <c r="G9" s="22"/>
      <c r="H9" s="22"/>
      <c r="I9" s="22"/>
    </row>
    <row r="10" spans="1:9" x14ac:dyDescent="0.15">
      <c r="A10" s="19" t="s">
        <v>147</v>
      </c>
      <c r="B10" s="19" t="s">
        <v>148</v>
      </c>
      <c r="C10" s="20" t="s">
        <v>157</v>
      </c>
      <c r="D10" s="20" t="s">
        <v>47</v>
      </c>
      <c r="E10" s="5"/>
      <c r="F10" s="22"/>
      <c r="G10" s="22"/>
      <c r="H10" s="22"/>
      <c r="I10" s="22"/>
    </row>
    <row r="11" spans="1:9" x14ac:dyDescent="0.15">
      <c r="A11" s="19" t="s">
        <v>149</v>
      </c>
      <c r="B11" s="19" t="s">
        <v>150</v>
      </c>
      <c r="C11" s="20" t="s">
        <v>154</v>
      </c>
      <c r="D11" s="20" t="s">
        <v>47</v>
      </c>
      <c r="E11" s="5"/>
      <c r="F11" s="22"/>
      <c r="G11" s="22"/>
      <c r="H11" s="22"/>
      <c r="I11" s="22"/>
    </row>
    <row r="12" spans="1:9" x14ac:dyDescent="0.15">
      <c r="A12" s="19"/>
      <c r="B12" s="19"/>
      <c r="C12" s="20"/>
      <c r="D12" s="20"/>
      <c r="E12" s="5"/>
      <c r="F12" s="22"/>
      <c r="G12" s="22"/>
      <c r="H12" s="22"/>
      <c r="I12" s="22"/>
    </row>
    <row r="13" spans="1:9" x14ac:dyDescent="0.15">
      <c r="A13" s="19"/>
      <c r="B13" s="19"/>
      <c r="C13" s="20"/>
      <c r="D13" s="20"/>
      <c r="E13" s="5"/>
      <c r="F13" s="22"/>
      <c r="G13" s="22"/>
      <c r="H13" s="22"/>
      <c r="I13" s="22"/>
    </row>
  </sheetData>
  <mergeCells count="12">
    <mergeCell ref="F13:I13"/>
    <mergeCell ref="B1:H1"/>
    <mergeCell ref="B2:F2"/>
    <mergeCell ref="B3:F3"/>
    <mergeCell ref="B4:F4"/>
    <mergeCell ref="B5:F5"/>
    <mergeCell ref="F7:I7"/>
    <mergeCell ref="F8:I8"/>
    <mergeCell ref="F9:I9"/>
    <mergeCell ref="F10:I10"/>
    <mergeCell ref="F11:I11"/>
    <mergeCell ref="F12:I12"/>
  </mergeCells>
  <phoneticPr fontId="3"/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~Index~</vt:lpstr>
      <vt:lpstr>~History~</vt:lpstr>
      <vt:lpstr>~Rules~</vt:lpstr>
      <vt:lpstr>ALLDATATYPES</vt:lpstr>
      <vt:lpstr>D_NEWS</vt:lpstr>
      <vt:lpstr>R_NEWS_PAGE</vt:lpstr>
      <vt:lpstr>D_SPEACH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kitaz</cp:lastModifiedBy>
  <dcterms:created xsi:type="dcterms:W3CDTF">2014-10-10T08:05:28Z</dcterms:created>
  <dcterms:modified xsi:type="dcterms:W3CDTF">2015-12-04T12:07:53Z</dcterms:modified>
</cp:coreProperties>
</file>